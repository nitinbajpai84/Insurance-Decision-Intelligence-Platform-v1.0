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AI use cases\Final One\files\"/>
    </mc:Choice>
  </mc:AlternateContent>
  <xr:revisionPtr revIDLastSave="0" documentId="13_ncr:1_{4CAE5B6D-DD89-4B0D-9779-6B4218BA91BA}" xr6:coauthVersionLast="47" xr6:coauthVersionMax="47" xr10:uidLastSave="{00000000-0000-0000-0000-000000000000}"/>
  <bookViews>
    <workbookView xWindow="7425" yWindow="-16320" windowWidth="29040" windowHeight="15720" tabRatio="500" activeTab="5" xr2:uid="{00000000-000D-0000-FFFF-FFFF00000000}"/>
  </bookViews>
  <sheets>
    <sheet name="Executive Summary" sheetId="1" r:id="rId1"/>
    <sheet name="AI Portfolio" sheetId="2" r:id="rId2"/>
    <sheet name="Health AI" sheetId="3" r:id="rId3"/>
    <sheet name="Operations AI" sheetId="4" r:id="rId4"/>
    <sheet name="Agency AI" sheetId="5" r:id="rId5"/>
    <sheet name="Data Requirements" sheetId="6" r:id="rId6"/>
    <sheet name="ML Models" sheetId="7" r:id="rId7"/>
    <sheet name="Business KPIs" sheetId="8" r:id="rId8"/>
    <sheet name="Industry Benchmark" sheetId="9" r:id="rId9"/>
    <sheet name="Implementation Roadmap" sheetId="10" r:id="rId10"/>
  </sheets>
  <definedNames>
    <definedName name="_xlnm._FilterDatabase" localSheetId="1" hidden="1">'AI Portfolio'!$A$4:$R$50</definedName>
    <definedName name="_xlnm._FilterDatabase" localSheetId="7" hidden="1">'Business KPIs'!$A$4:$I$50</definedName>
    <definedName name="_xlnm._FilterDatabase" localSheetId="5" hidden="1">'Data Requirements'!$A$4:$H$50</definedName>
    <definedName name="_xlnm._FilterDatabase" localSheetId="6" hidden="1">'ML Models'!$A$4:$L$50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1" i="10" l="1"/>
  <c r="C61" i="10"/>
  <c r="B61" i="10"/>
  <c r="D60" i="10"/>
  <c r="C60" i="10"/>
  <c r="B60" i="10"/>
  <c r="D59" i="10"/>
  <c r="C59" i="10"/>
  <c r="B59" i="10"/>
  <c r="D58" i="10"/>
  <c r="C58" i="10"/>
  <c r="B58" i="10"/>
  <c r="D36" i="1"/>
  <c r="C36" i="1"/>
  <c r="B36" i="1"/>
  <c r="E36" i="1" s="1"/>
  <c r="D35" i="1"/>
  <c r="C35" i="1"/>
  <c r="B35" i="1"/>
  <c r="D34" i="1"/>
  <c r="C34" i="1"/>
  <c r="B34" i="1"/>
  <c r="E34" i="1" s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E28" i="1" s="1"/>
  <c r="D27" i="1"/>
  <c r="C27" i="1"/>
  <c r="B27" i="1"/>
  <c r="D26" i="1"/>
  <c r="C26" i="1"/>
  <c r="B26" i="1"/>
  <c r="D22" i="1"/>
  <c r="C22" i="1"/>
  <c r="B22" i="1"/>
  <c r="E22" i="1" s="1"/>
  <c r="D21" i="1"/>
  <c r="C21" i="1"/>
  <c r="B21" i="1"/>
  <c r="E21" i="1" s="1"/>
  <c r="D20" i="1"/>
  <c r="C20" i="1"/>
  <c r="B20" i="1"/>
  <c r="E20" i="1" s="1"/>
  <c r="D19" i="1"/>
  <c r="C19" i="1"/>
  <c r="B19" i="1"/>
  <c r="E19" i="1" s="1"/>
  <c r="D18" i="1"/>
  <c r="C18" i="1"/>
  <c r="B18" i="1"/>
  <c r="E18" i="1" s="1"/>
  <c r="E27" i="1" l="1"/>
  <c r="E30" i="1"/>
  <c r="E35" i="1"/>
  <c r="E33" i="1"/>
  <c r="E32" i="1"/>
  <c r="E31" i="1"/>
  <c r="E26" i="1"/>
  <c r="E29" i="1"/>
</calcChain>
</file>

<file path=xl/sharedStrings.xml><?xml version="1.0" encoding="utf-8"?>
<sst xmlns="http://schemas.openxmlformats.org/spreadsheetml/2006/main" count="3582" uniqueCount="921">
  <si>
    <t>Enterprise AI Capability Map — Life &amp; Health Insurance AI Playbook</t>
  </si>
  <si>
    <t>1. AI VISION</t>
  </si>
  <si>
    <t>To become an AI-native life &amp; health insurer where every underwriting, claims, service and distribution decision is augmented by trusted AI — delivering straight-through operations, hyper-personalised customer engagement, a digitally empowered agency force, and a proactive health partnership with every customer, governed by a Responsible AI framework.</t>
  </si>
  <si>
    <t>2. STRATEGIC THEMES</t>
  </si>
  <si>
    <t>T1  Straight-Through Operations</t>
  </si>
  <si>
    <t>Automate document-heavy UW, claims and servicing to lift STP and cut unit cost (H1, H4, O1-O4, O16, O17).</t>
  </si>
  <si>
    <t>T2  Augmented Distribution</t>
  </si>
  <si>
    <t>Personalisation, NBA, coaching and nudges that raise agent productivity and share of wallet (A1-A21, O5).</t>
  </si>
  <si>
    <t>T3  Intelligent Health &amp; Risk</t>
  </si>
  <si>
    <t>Risk scoring, FWA detection and provider analytics that bend the claims cost curve (H2, H3, H5, O7).</t>
  </si>
  <si>
    <t>T4  Trusted &amp; Governed AI</t>
  </si>
  <si>
    <t>Responsible AI, model risk management and human-in-the-loop controls as a licence to operate and scale.</t>
  </si>
  <si>
    <t>T5  Data &amp; Platform Foundations</t>
  </si>
  <si>
    <t>Customer 360, MDM, document AI platform and enterprise RAG as multipliers for every initiative.</t>
  </si>
  <si>
    <t>3. PORTFOLIO &amp; ROADMAP SUMMARY</t>
  </si>
  <si>
    <t>Health</t>
  </si>
  <si>
    <t>Operations</t>
  </si>
  <si>
    <t>Agency</t>
  </si>
  <si>
    <t>Total</t>
  </si>
  <si>
    <t>Initiatives</t>
  </si>
  <si>
    <t>Quick wins</t>
  </si>
  <si>
    <t>Phase 1</t>
  </si>
  <si>
    <t>Phase 2</t>
  </si>
  <si>
    <t>Phase 3</t>
  </si>
  <si>
    <t>4. CAPABILITY HEATMAP (initiative count using each AI capability)</t>
  </si>
  <si>
    <t>AI Capability</t>
  </si>
  <si>
    <t>OCR</t>
  </si>
  <si>
    <t>Vision</t>
  </si>
  <si>
    <t>NLP</t>
  </si>
  <si>
    <t>LLM</t>
  </si>
  <si>
    <t>RAG</t>
  </si>
  <si>
    <t>Predictive</t>
  </si>
  <si>
    <t>Recommendation</t>
  </si>
  <si>
    <t>Graph</t>
  </si>
  <si>
    <t>Forecast</t>
  </si>
  <si>
    <t>Optimization</t>
  </si>
  <si>
    <t>Agentic</t>
  </si>
  <si>
    <t>5. AI CAPABILITY → TYPICAL USE CASES</t>
  </si>
  <si>
    <t>Capability</t>
  </si>
  <si>
    <t>Typical use cases</t>
  </si>
  <si>
    <t>OCR / Document AI</t>
  </si>
  <si>
    <t>Document digitization, KYC, claims intake</t>
  </si>
  <si>
    <t>Computer Vision</t>
  </si>
  <si>
    <t>ID verification, damage/medical image assessment, fraud</t>
  </si>
  <si>
    <t>Medical summaries, underwriting notes, complaints, voice analytics</t>
  </si>
  <si>
    <t>LLM (GenAI)</t>
  </si>
  <si>
    <t>Copilots, Q&amp;A, document generation, coaching, summarization</t>
  </si>
  <si>
    <t>Policy/UW guideline retrieval, enterprise knowledge assistant</t>
  </si>
  <si>
    <t>Predictive ML</t>
  </si>
  <si>
    <t>Lapse, propensity, churn, renewals, risk scoring</t>
  </si>
  <si>
    <t>Recommendation Engine</t>
  </si>
  <si>
    <t>Next Best Action, cross-sell, wellness nudges</t>
  </si>
  <si>
    <t>Graph AI</t>
  </si>
  <si>
    <t>Fraud rings, provider networks, referral mining</t>
  </si>
  <si>
    <t>Time-Series Forecasting</t>
  </si>
  <si>
    <t>Renewals, claims volumes, workforce demand</t>
  </si>
  <si>
    <t>Incentives, staffing, campaign budgets, routing</t>
  </si>
  <si>
    <t>Agentic AI</t>
  </si>
  <si>
    <t>Claims orchestration, servicing workflows, UW case management</t>
  </si>
  <si>
    <t>ID</t>
  </si>
  <si>
    <t>Domain</t>
  </si>
  <si>
    <t>AI Initiative</t>
  </si>
  <si>
    <t>Strategic Goal</t>
  </si>
  <si>
    <t>Business Problem</t>
  </si>
  <si>
    <t>GenAI/ML Approach</t>
  </si>
  <si>
    <t>Data Required</t>
  </si>
  <si>
    <t>Core Tables</t>
  </si>
  <si>
    <t>Expected Output</t>
  </si>
  <si>
    <t>Primary Users</t>
  </si>
  <si>
    <t>KPIs</t>
  </si>
  <si>
    <t>Business Value</t>
  </si>
  <si>
    <t>Implementation Complexity</t>
  </si>
  <si>
    <t>Phase</t>
  </si>
  <si>
    <t>Industry Maturity</t>
  </si>
  <si>
    <t>Value Score (1-5)</t>
  </si>
  <si>
    <t>Complexity Score (1-5)</t>
  </si>
  <si>
    <t>H1</t>
  </si>
  <si>
    <t>AI-Powered Document Digitization</t>
  </si>
  <si>
    <t>Digitise medical information end-to-end (domain goal per PDF)</t>
  </si>
  <si>
    <t>OCR + GenAI summarization</t>
  </si>
  <si>
    <t>OCR, Document AI, Medical NLP, LLM summarization</t>
  </si>
  <si>
    <t>Medical reports, lab reports, prescriptions, discharge summaries</t>
  </si>
  <si>
    <t>Claims, Policies, Customers, Medical Documents, Providers</t>
  </si>
  <si>
    <t>Underwriters, Claims Officers, Medical Team</t>
  </si>
  <si>
    <t>Turnaround time, extraction accuracy, straight-through processing rate</t>
  </si>
  <si>
    <t>Faster processing and reduced manual effort across UW and claims</t>
  </si>
  <si>
    <t>Medium</t>
  </si>
  <si>
    <t>High (widely adopted)</t>
  </si>
  <si>
    <t>H2</t>
  </si>
  <si>
    <t>GenAI Real-Time FWA Detection</t>
  </si>
  <si>
    <t>Reduce fraud and cost leakage in health claims</t>
  </si>
  <si>
    <t>Supervised fraud classification, anomaly detection, duplicate-claim matching, LLM case reasoning</t>
  </si>
  <si>
    <t>Claims, provider history, diagnosis codes, billing data</t>
  </si>
  <si>
    <t>Claims, Claim Line Items, Providers, Diagnoses, Procedures, Investigations</t>
  </si>
  <si>
    <t>SIU / Fraud Investigators, Claims Managers</t>
  </si>
  <si>
    <t>Fraud detection rate, false-positive rate, recovered amount, duplicate-claim catch rate</t>
  </si>
  <si>
    <t>Direct claims-cost avoidance and loss-ratio improvement</t>
  </si>
  <si>
    <t>High</t>
  </si>
  <si>
    <t>Medium-High</t>
  </si>
  <si>
    <t>H3</t>
  </si>
  <si>
    <t>ML-Powered Predictive Risk Scoring</t>
  </si>
  <si>
    <t>Assess claim and health risk consistently at scale</t>
  </si>
  <si>
    <t>Predictive ML risk models</t>
  </si>
  <si>
    <t>Risk prediction / classification models (gradient boosting), calibration, explainability (SHAP)</t>
  </si>
  <si>
    <t>Medical history, lifestyle data, demographics</t>
  </si>
  <si>
    <t>Customers, Claims, Medical Documents, Policies, Health Assessments</t>
  </si>
  <si>
    <t>Underwriters, Claims Assessors, Medical Team</t>
  </si>
  <si>
    <t>Model AUC/calibration, referral precision, downstream TAT</t>
  </si>
  <si>
    <t>Consistent risk selection and faster decisions</t>
  </si>
  <si>
    <t>H4</t>
  </si>
  <si>
    <t>Intelligent Rule Engine &amp; Decision Automation</t>
  </si>
  <si>
    <t>Automate approval decisions for claims and underwriting</t>
  </si>
  <si>
    <t>Business-rules engine integrated with ML classification scores; escalation thresholds; audit trail</t>
  </si>
  <si>
    <t>Claims, underwriting rules, policies</t>
  </si>
  <si>
    <t>Claims, Policies, Benefits, Underwriting Decisions, Rules Repository</t>
  </si>
  <si>
    <t>Claims Officers, Underwriters, Ops Managers</t>
  </si>
  <si>
    <t>Auto-decision rate, override rate, decision TAT, leakage</t>
  </si>
  <si>
    <t>Straight-through decisions with human-in-the-loop for exceptions</t>
  </si>
  <si>
    <t>H5</t>
  </si>
  <si>
    <t>AI Portfolio-Level Claims Intelligence &amp; Provider Analytics</t>
  </si>
  <si>
    <t>Create visibility into provider performance and treatment patterns</t>
  </si>
  <si>
    <t>Clustering/segmentation of providers, benchmarking analytics, fraud-trend mining, cost-leakage analytics</t>
  </si>
  <si>
    <t>Claims, hospital data, provider data, treatment/procedure codes</t>
  </si>
  <si>
    <t>Claims, Providers, Provider Networks, Procedures, Tariffs</t>
  </si>
  <si>
    <t>Provider Management, Claims Managers, Health Economics Team</t>
  </si>
  <si>
    <t>Cost per episode vs benchmark, provider score adoption, leakage identified</t>
  </si>
  <si>
    <t>Better provider negotiation and network steering</t>
  </si>
  <si>
    <t>H6</t>
  </si>
  <si>
    <t>GTM (Go-To-Market) Rollout</t>
  </si>
  <si>
    <t>Program milestone: operational readiness (process, people, controls)</t>
  </si>
  <si>
    <t>N/A (deployment milestone) — model operationalisation, monitoring setup, adoption tooling</t>
  </si>
  <si>
    <t>Business processes, SOPs, training material, deployment checklists</t>
  </si>
  <si>
    <t>Workflow Tasks, Knowledge Articles, Org Structure</t>
  </si>
  <si>
    <t>Program Office, Health Business Owners, Ops, IT</t>
  </si>
  <si>
    <t>Go-live milestones met, adoption rate, incident rate post-launch</t>
  </si>
  <si>
    <t>Converts Health AI builds into realised business value</t>
  </si>
  <si>
    <t>N/A (program phase)</t>
  </si>
  <si>
    <t>H7</t>
  </si>
  <si>
    <t>MVP 2 — Expanded Health AI Capabilities</t>
  </si>
  <si>
    <t>Program milestone: expanded AI capabilities on additional datasets</t>
  </si>
  <si>
    <t>Iteration on H1-H5 models: added data sources, advanced features, wider claim types</t>
  </si>
  <si>
    <t>Claims, Medical Documents, Providers, External Data Registry</t>
  </si>
  <si>
    <t>Program Office, Health Business Owners, Data Science</t>
  </si>
  <si>
    <t>Scope-expansion milestones, incremental STP/fraud KPIs vs MVP1 baseline</t>
  </si>
  <si>
    <t>Compounding value on the MVP foundation</t>
  </si>
  <si>
    <t>O1</t>
  </si>
  <si>
    <t>Ingest, Extract &amp; Summarize Medical Information (Life &amp; Health)</t>
  </si>
  <si>
    <t>Operational teams re-key data from unstructured medical PDFs</t>
  </si>
  <si>
    <t>OCR + Document AI + Medical NLP</t>
  </si>
  <si>
    <t>OCR, layout parsing, entity extraction, LLM summarization</t>
  </si>
  <si>
    <t>Medical PDFs, attachments, scanned reports</t>
  </si>
  <si>
    <t>Medical Documents, Claims, Applications, Customers</t>
  </si>
  <si>
    <t>Operations Staff, Underwriting Support, Claims Support</t>
  </si>
  <si>
    <t>Extraction accuracy, docs auto-processed %, re-key effort saved</t>
  </si>
  <si>
    <t>Shared extraction service feeding UW and claims</t>
  </si>
  <si>
    <t>Low-Medium</t>
  </si>
  <si>
    <t>Quick Win</t>
  </si>
  <si>
    <t>O2</t>
  </si>
  <si>
    <t>Structure Unstructured Data for Underwriting</t>
  </si>
  <si>
    <t>UW-relevant attributes are buried in documents and free text</t>
  </si>
  <si>
    <t>Document AI + NLP</t>
  </si>
  <si>
    <t>Attribute extraction models, medical/financial entity recognition, normalization to UW schema</t>
  </si>
  <si>
    <t>Application forms, medical evidence, financial documents</t>
  </si>
  <si>
    <t>Applications, Underwriting Decisions, Medical Documents, Customers</t>
  </si>
  <si>
    <t>Underwriters, New Business Ops</t>
  </si>
  <si>
    <t>Profile completeness, extraction accuracy, UW prep time</t>
  </si>
  <si>
    <t>Feeds indicative UW decisions (O4) and pricing (O8)</t>
  </si>
  <si>
    <t>O2B</t>
  </si>
  <si>
    <t>Automated KYC Verification</t>
  </si>
  <si>
    <t>Manual KYC checks slow onboarding and create compliance risk</t>
  </si>
  <si>
    <t>OCR + Computer Vision + Screening rules</t>
  </si>
  <si>
    <t>ID document classification, face/ID match, watchlist screening, entity resolution</t>
  </si>
  <si>
    <t>Identity documents, proof of address, sanctions/PEP watchlists</t>
  </si>
  <si>
    <t>Customers, KYC Records, Documents, Watchlists</t>
  </si>
  <si>
    <t>New Business Ops, Compliance</t>
  </si>
  <si>
    <t>Onboarding TAT, KYC exception rate, compliance findings</t>
  </si>
  <si>
    <t>Faster onboarding with lower compliance risk</t>
  </si>
  <si>
    <t>Low</t>
  </si>
  <si>
    <t>O3</t>
  </si>
  <si>
    <t>GenAI Proactive Data-Quality Detection</t>
  </si>
  <si>
    <t>Poor data quality undermines decisions and downstream AI</t>
  </si>
  <si>
    <t>ML anomaly detection + Rule mining</t>
  </si>
  <si>
    <t>DQ rule learning, outlier detection, completeness/consistency monitors, entity resolution</t>
  </si>
  <si>
    <t>Core system extracts, customer master, policy master</t>
  </si>
  <si>
    <t>Customers, Policies, Claims, Agents, Reference Data</t>
  </si>
  <si>
    <t>Data Office, Ops Teams, IT</t>
  </si>
  <si>
    <t>DQ score trend, duplicate rate, issues auto-detected %</t>
  </si>
  <si>
    <t>Foundation multiplier for every other initiative</t>
  </si>
  <si>
    <t>O4</t>
  </si>
  <si>
    <t>Generate Indicative Decisions for Underwriters</t>
  </si>
  <si>
    <t>Manual UW review constrains capacity and consistency</t>
  </si>
  <si>
    <t>Predictive ML + Rules + LLM evidence review</t>
  </si>
  <si>
    <t>Classification models (Approve/Decline/Review), rules integration, LLM-assisted evidence summarisation</t>
  </si>
  <si>
    <t>Structured UW profile (O2), medical evidence, application data</t>
  </si>
  <si>
    <t>Applications, Underwriting Decisions, Medical Documents, Products</t>
  </si>
  <si>
    <t>Underwriters, Chief Underwriter</t>
  </si>
  <si>
    <t>Auto-decision rate, UW TAT, decision consistency, slippage</t>
  </si>
  <si>
    <t>Higher STP issuance and capacity uplift</t>
  </si>
  <si>
    <t>O5</t>
  </si>
  <si>
    <t>Generate Indicative Decisions for Agents / Banca RMs</t>
  </si>
  <si>
    <t>Agents lack systematic guidance on follow-ups and offers</t>
  </si>
  <si>
    <t>Recommendation engine + Predictive ML</t>
  </si>
  <si>
    <t>Next-action recommenders, product propensity models, prioritisation scoring</t>
  </si>
  <si>
    <t>Customer profiles, holdings, interactions, campaign data</t>
  </si>
  <si>
    <t>Customers, Policies, Products, Interactions, Recommendations, Agents</t>
  </si>
  <si>
    <t>Agents, Agency Leaders, Distribution Support</t>
  </si>
  <si>
    <t>Recommendation acceptance rate, conversion uplift, contact efficiency</t>
  </si>
  <si>
    <t>Bridges Operations data into Agency selling motion</t>
  </si>
  <si>
    <t>O6</t>
  </si>
  <si>
    <t>Helpdesk Chatbot for Agents / Banca RMs</t>
  </si>
  <si>
    <t>Support agents and bancassurance RMs with an AI assistant</t>
  </si>
  <si>
    <t>Agents and banca RMs need instant, reliable answers on products, processes and cases</t>
  </si>
  <si>
    <t>LLM + RAG</t>
  </si>
  <si>
    <t>RAG over SOPs, product documents and IT knowledge base; permissioned answers with citations</t>
  </si>
  <si>
    <t>Product specs, sales/process knowledge, policy data, case context</t>
  </si>
  <si>
    <t>Knowledge Articles, Documents, Products, Org Structure</t>
  </si>
  <si>
    <t>AI assistant with cited answers for agents and banca RMs; routed follow-ups</t>
  </si>
  <si>
    <t>Agents, Bancassurance RMs, Distribution Support</t>
  </si>
  <si>
    <t>Query deflection, answer accuracy, search time saved</t>
  </si>
  <si>
    <t>Sun Life Asks-style internal productivity at scale</t>
  </si>
  <si>
    <t>O7</t>
  </si>
  <si>
    <t>Identify High-Value Distribution Partners / Clients / Cases</t>
  </si>
  <si>
    <t>Rank high-value distribution partners, clients and cases</t>
  </si>
  <si>
    <t>No systematic ranking of partners, high-value clients or high-value cases for prioritisation</t>
  </si>
  <si>
    <t>Predictive ML + Clustering</t>
  </si>
  <si>
    <t>Partner value scoring, clustering, benchmark analytics</t>
  </si>
  <si>
    <t>Claims by provider, partner production, service metrics, cost data</t>
  </si>
  <si>
    <t>Providers, Partners, Claims, Policies, Tariffs</t>
  </si>
  <si>
    <t>Ranking and value scorecards for partners, clients and cases</t>
  </si>
  <si>
    <t>Partnership Team, Distribution Strategy, Provider/Client Management</t>
  </si>
  <si>
    <t>Partner score coverage, cost per episode vs benchmark, steering adoption</t>
  </si>
  <si>
    <t>Better network economics and partner steering</t>
  </si>
  <si>
    <t>O8</t>
  </si>
  <si>
    <t>Technical Pricing</t>
  </si>
  <si>
    <t>Pricing precision limited by manual/legacy approaches</t>
  </si>
  <si>
    <t>Predictive ML + Actuarial models</t>
  </si>
  <si>
    <t>Risk-cost models (GLM/GBM), elasticity modelling, factor optimisation with actuarial governance</t>
  </si>
  <si>
    <t>Claims experience, exposure data, risk factors, expense loadings</t>
  </si>
  <si>
    <t>Policies, Claims, Products, Rates, Assumptions</t>
  </si>
  <si>
    <t>Pricing Actuaries, Product Team</t>
  </si>
  <si>
    <t>Loss-ratio vs plan, pricing adequacy, quote competitiveness</t>
  </si>
  <si>
    <t>Margin protection with competitive positioning</t>
  </si>
  <si>
    <t>O9</t>
  </si>
  <si>
    <t>Proactive Renewals</t>
  </si>
  <si>
    <t>Renewal outcomes discovered too late to act</t>
  </si>
  <si>
    <t>Renewal-propensity classification, time-to-event models, intervention uplift</t>
  </si>
  <si>
    <t>Policy attributes, payment behaviour, service contacts, agent status</t>
  </si>
  <si>
    <t>Policies, Payments, Customers, Agents, Interactions</t>
  </si>
  <si>
    <t>Retention Team, Agents, Ops Planning</t>
  </si>
  <si>
    <t>Renewal rate, persistency, save rate on flagged policies</t>
  </si>
  <si>
    <t>Direct revenue retention</t>
  </si>
  <si>
    <t>O10</t>
  </si>
  <si>
    <t>Market-Based / Lifetime-Based Pricing &amp; Elasticity Models</t>
  </si>
  <si>
    <t>Optimize pricing using market, lifetime-value and elasticity models</t>
  </si>
  <si>
    <t>Prices lag market movements and competitor positioning</t>
  </si>
  <si>
    <t>ML + Optimization</t>
  </si>
  <si>
    <t>Competitive-position models, customer-lifetime-value (CLV) models, demand elasticity, constrained pricing optimization with guardrails</t>
  </si>
  <si>
    <t>Competitor rates, quote win/loss, market data, technical price (O8)</t>
  </si>
  <si>
    <t>Products, Rates, Quotes, External Market Data</t>
  </si>
  <si>
    <t>Dynamic and lifetime-value-based pricing recommendations within regulatory and fairness guardrails</t>
  </si>
  <si>
    <t>Pricing Team, Product Heads, Distribution Strategy</t>
  </si>
  <si>
    <t>Quote-to-bind rate, margin per policy, price-position index</t>
  </si>
  <si>
    <t>Win-rate and margin balance; requires strong governance</t>
  </si>
  <si>
    <t>Low-Medium (regulated constraint)</t>
  </si>
  <si>
    <t>O11</t>
  </si>
  <si>
    <t>Customer Self-Service Assistant (Chatbot)</t>
  </si>
  <si>
    <t>High call volumes for routine queries and transactions</t>
  </si>
  <si>
    <t>LLM + RAG + Transaction integration</t>
  </si>
  <si>
    <t>Conversational assistant with policy-context retrieval, guarded transaction flows, handover to human</t>
  </si>
  <si>
    <t>Policy data, FAQs, service procedures, customer authentication context</t>
  </si>
  <si>
    <t>Customers, Policies, Knowledge Articles, Service Requests, Interactions</t>
  </si>
  <si>
    <t>Customers (self-service), Contact Centre (overflow relief)</t>
  </si>
  <si>
    <t>Containment/deflection rate, CSAT, cost per contact</t>
  </si>
  <si>
    <t>Contact-centre cost reduction and 24/7 service</t>
  </si>
  <si>
    <t>O12</t>
  </si>
  <si>
    <t>Smart Routing</t>
  </si>
  <si>
    <t>Manual case assignment causes queues and skill mismatch</t>
  </si>
  <si>
    <t>Predictive ML + Optimization</t>
  </si>
  <si>
    <t>Case classification, complexity scoring, skill-based routing optimisation</t>
  </si>
  <si>
    <t>Case metadata, staff skills/capacity, SLA rules, historical outcomes</t>
  </si>
  <si>
    <t>Service Requests, Claims, Workflow Tasks, Rosters</t>
  </si>
  <si>
    <t>Ops Workflow Teams, Team Leaders</t>
  </si>
  <si>
    <t>SLA attainment, first-touch resolution, queue ageing</t>
  </si>
  <si>
    <t>Throughput and SLA stability</t>
  </si>
  <si>
    <t>O13</t>
  </si>
  <si>
    <t>GenAI Real-Time Coaching</t>
  </si>
  <si>
    <t>Service quality varies; guidance arrives after the call</t>
  </si>
  <si>
    <t>Speech-to-text + NLP + LLM</t>
  </si>
  <si>
    <t>Live transcription, intent/sentiment detection, real-time prompt suggestions</t>
  </si>
  <si>
    <t>Live call audio, knowledge base, interaction context</t>
  </si>
  <si>
    <t>Interactions, Knowledge Articles, QA Scores</t>
  </si>
  <si>
    <t>Contact Centre Agents, Service Quality Team</t>
  </si>
  <si>
    <t>AHT, first-contact resolution, QA score uplift</t>
  </si>
  <si>
    <t>Quality uplift on 100% of interactions</t>
  </si>
  <si>
    <t>O14</t>
  </si>
  <si>
    <t>Servicing Staff Support AI</t>
  </si>
  <si>
    <t>Servicing staff juggle systems, procedures and case context</t>
  </si>
  <si>
    <t>LLM + RAG + Workflow integration</t>
  </si>
  <si>
    <t>Case-context summarisation, guided procedures, draft correspondence, next-step suggestions</t>
  </si>
  <si>
    <t>Case data, SOPs, policy data, correspondence templates</t>
  </si>
  <si>
    <t>Service Requests, Policies, Knowledge Articles, Documents, Templates</t>
  </si>
  <si>
    <t>Policy Servicing Team, Ops Staff</t>
  </si>
  <si>
    <t>Handling time per transaction, rework rate, adoption</t>
  </si>
  <si>
    <t>Manulife-style copilot productivity across servicing</t>
  </si>
  <si>
    <t>O15</t>
  </si>
  <si>
    <t>Predictive Customer Behaviour &amp; Proactive Servicing</t>
  </si>
  <si>
    <t>Predict customer behaviour and drive proactive servicing</t>
  </si>
  <si>
    <t>Customer actions (lapse, churn, complaints, claims) surprise operations</t>
  </si>
  <si>
    <t>Behaviour prediction models (lapse, complaint, contact, claim propensity), feature-store based</t>
  </si>
  <si>
    <t>Interaction history, payment behaviour, digital events, policy data</t>
  </si>
  <si>
    <t>Customers, Policies, Payments, Interactions, Digital Events</t>
  </si>
  <si>
    <t>Behaviour prediction scores driving proactive servicing and treatment strategies</t>
  </si>
  <si>
    <t>Ops Planning, Retention, CX Team</t>
  </si>
  <si>
    <t>Prediction AUC, proactive-contact save rate, complaint prevention</t>
  </si>
  <si>
    <t>Shifts operations from reactive to proactive</t>
  </si>
  <si>
    <t>O16</t>
  </si>
  <si>
    <t>AI-Enabled Claims Adjudication</t>
  </si>
  <si>
    <t>Manual adjudication drives cost and settlement delay</t>
  </si>
  <si>
    <t>Document AI + Predictive ML + Rules + Agentic AI</t>
  </si>
  <si>
    <t>Payable/refer classification, benefit-rule application, anomaly screens, agent orchestration with human-in-the-loop</t>
  </si>
  <si>
    <t>Claim forms, bills, medical documents, policy benefits, tariffs</t>
  </si>
  <si>
    <t>Claims, Claim Line Items, Policies, Benefits, Providers, Tariffs</t>
  </si>
  <si>
    <t>Claims Officers, Claims Managers, Finance</t>
  </si>
  <si>
    <t>STP rate, cost per claim, settlement TAT, leakage</t>
  </si>
  <si>
    <t>Flagship cost and CX initiative (Ping An/Allianz benchmark)</t>
  </si>
  <si>
    <t>O17</t>
  </si>
  <si>
    <t>Guided Claims</t>
  </si>
  <si>
    <t>Complex claims need consistent, compliant handling paths</t>
  </si>
  <si>
    <t>LLM + Rules + Workflow</t>
  </si>
  <si>
    <t>Guided workflow generation, checklist automation, contextual guidance from claims manuals (RAG)</t>
  </si>
  <si>
    <t>Claims manuals, case data, requirement checklists</t>
  </si>
  <si>
    <t>Claims, Workflow Tasks, Knowledge Articles, Documents</t>
  </si>
  <si>
    <t>Claims Handlers, New Joiners, QA</t>
  </si>
  <si>
    <t>Handling consistency, training time, error/rework rate</t>
  </si>
  <si>
    <t>Consistency and faster onboarding of claims staff</t>
  </si>
  <si>
    <t>A1</t>
  </si>
  <si>
    <t>Hyper-Personalized Product Offering</t>
  </si>
  <si>
    <t>Generic offers ignore individual needs and context</t>
  </si>
  <si>
    <t>Product recommenders, propensity models, coverage-gap analytics</t>
  </si>
  <si>
    <t>Customer 360, holdings, life events, demographics</t>
  </si>
  <si>
    <t>Customers, Policies, Products, Events, Recommendations</t>
  </si>
  <si>
    <t>Agents, Bancassurance RMs</t>
  </si>
  <si>
    <t>Offer acceptance rate, conversion, APE uplift</t>
  </si>
  <si>
    <t>Core revenue engine for personalised selling</t>
  </si>
  <si>
    <t>A2</t>
  </si>
  <si>
    <t>Hyper-Personalized Campaigning &amp; Lead Generation</t>
  </si>
  <si>
    <t>Broad campaigns waste budget on unlikely converters</t>
  </si>
  <si>
    <t>Predictive ML + Optimization + GenAI content</t>
  </si>
  <si>
    <t>Response/uplift models, segment targeting, budget optimisation, personalised content variants</t>
  </si>
  <si>
    <t>Campaign history, responses, segments, channel costs, content assets</t>
  </si>
  <si>
    <t>Campaigns, Segments, Customers, Responses, Content Library</t>
  </si>
  <si>
    <t>Marketing, Distribution Campaigns</t>
  </si>
  <si>
    <t>Campaign ROI, response rate, CPA</t>
  </si>
  <si>
    <t>Higher marketing ROI with personalisation at scale</t>
  </si>
  <si>
    <t>A3</t>
  </si>
  <si>
    <t>Pre-Sales Intelligence Engine</t>
  </si>
  <si>
    <t>Agents walk into meetings without a synthesised customer view</t>
  </si>
  <si>
    <t>LLM + Customer analytics</t>
  </si>
  <si>
    <t>LLM-generated customer briefings from Customer 360, holdings, gaps and talking points</t>
  </si>
  <si>
    <t>Customer 360, holdings, interactions, needs data</t>
  </si>
  <si>
    <t>Customers, Policies, Interactions, FNA Records</t>
  </si>
  <si>
    <t>Agents, Agency Leaders</t>
  </si>
  <si>
    <t>Briefing usage rate, meeting-to-proposal conversion, case size</t>
  </si>
  <si>
    <t>Better conversations, higher conversion</t>
  </si>
  <si>
    <t>A4</t>
  </si>
  <si>
    <t>Automated Funnel Management</t>
  </si>
  <si>
    <t>Pipeline stages stall without visibility or systematic follow-up</t>
  </si>
  <si>
    <t>Predictive ML + Workflow automation</t>
  </si>
  <si>
    <t>Stage-conversion models, stall detection, automated follow-up orchestration</t>
  </si>
  <si>
    <t>Pipeline data, activities, lead status, outcomes</t>
  </si>
  <si>
    <t>Leads, Sales Activity, Agents, Policies</t>
  </si>
  <si>
    <t>Agents, Unit Managers, Agency Leaders</t>
  </si>
  <si>
    <t>Funnel conversion by stage, cycle time, stalled-deal recovery</t>
  </si>
  <si>
    <t>Systematic conversion uplift</t>
  </si>
  <si>
    <t>A5</t>
  </si>
  <si>
    <t>Investment Earning Simulator</t>
  </si>
  <si>
    <t>Customers struggle to visualise long-term product value</t>
  </si>
  <si>
    <t>Simulation + LLM explanation</t>
  </si>
  <si>
    <t>Monte-Carlo/deterministic projection engines with plain-language LLM explanations, compliance-guarded</t>
  </si>
  <si>
    <t>Product rules, fund performance, customer inputs, illustration rules</t>
  </si>
  <si>
    <t>Products, Rates, Funds, Quotes, Illustrations</t>
  </si>
  <si>
    <t>Agents, Customers</t>
  </si>
  <si>
    <t>Illustration usage, quote-to-app conversion, compliance pass rate</t>
  </si>
  <si>
    <t>Clearer value stories accelerate closing</t>
  </si>
  <si>
    <t>A6</t>
  </si>
  <si>
    <t>AI "Get Smart" / Pre-Pitch Support</t>
  </si>
  <si>
    <t>Pitch quality varies widely across the force</t>
  </si>
  <si>
    <t>Pitch generation from customer context + product library, objection-handling suggestions</t>
  </si>
  <si>
    <t>Customer briefing (A3), product library, best-practice pitches</t>
  </si>
  <si>
    <t>Customers, Products, Knowledge Articles, FNA Records</t>
  </si>
  <si>
    <t>Agents</t>
  </si>
  <si>
    <t>Pitch usage, proposal conversion, case size</t>
  </si>
  <si>
    <t>Raises average pitch to top-quartile standard</t>
  </si>
  <si>
    <t>A7</t>
  </si>
  <si>
    <t>Value-Based Segmentation &amp; Prioritization</t>
  </si>
  <si>
    <t>Effort is spread evenly rather than by customer value</t>
  </si>
  <si>
    <t>Clustering + Predictive ML</t>
  </si>
  <si>
    <t>Lifetime-value models, profitability clustering, migration analysis</t>
  </si>
  <si>
    <t>Holdings, premiums, claims, service cost, tenure</t>
  </si>
  <si>
    <t>Customers, Policies, Claims, Payments, Segments</t>
  </si>
  <si>
    <t>Distribution Strategy, Marketing, Agency Leaders</t>
  </si>
  <si>
    <t>Value-segment coverage, revenue per segment, retention of high-value</t>
  </si>
  <si>
    <t>Focuses force effort where value is</t>
  </si>
  <si>
    <t>A8</t>
  </si>
  <si>
    <t>In-the-Moment Live Sales Coach</t>
  </si>
  <si>
    <t>Agents get no help at the moment of truth in meetings</t>
  </si>
  <si>
    <t>LLM + Speech-to-text (real-time)</t>
  </si>
  <si>
    <t>Live conversation analysis, next-talking-point suggestions, compliance prompts</t>
  </si>
  <si>
    <t>Live meeting audio/chat, customer context, product rules</t>
  </si>
  <si>
    <t>Interactions, Customers, Products, Knowledge Articles</t>
  </si>
  <si>
    <t>Agents (in customer meetings)</t>
  </si>
  <si>
    <t>Suggestion acceptance, conversion in coached meetings, compliance flags</t>
  </si>
  <si>
    <t>Frontier capability; requires consent and strong guardrails</t>
  </si>
  <si>
    <t>Low (emerging)</t>
  </si>
  <si>
    <t>A9</t>
  </si>
  <si>
    <t>Proactive Servicing &amp; Admin Automation AI</t>
  </si>
  <si>
    <t>Contact customers before issues arise and automate servicing admin</t>
  </si>
  <si>
    <t>Service issues surface as complaints or lapses</t>
  </si>
  <si>
    <t>Predictive ML + Recommendation</t>
  </si>
  <si>
    <t>Issue-propensity models (payment failure, service need), outreach recommendations</t>
  </si>
  <si>
    <t>Payment signals, service history, policy events, digital behaviour</t>
  </si>
  <si>
    <t>Customers, Policies, Payments, Interactions, Recommendations</t>
  </si>
  <si>
    <t>Follow-up recommendations plus automated servicing/admin actions</t>
  </si>
  <si>
    <t>Agents, Retention Team</t>
  </si>
  <si>
    <t>Prevented lapses/complaints, proactive-contact save rate, NPS</t>
  </si>
  <si>
    <t>Retention and experience uplift</t>
  </si>
  <si>
    <t>A10</t>
  </si>
  <si>
    <t>Automated Reactive Servicing</t>
  </si>
  <si>
    <t>Agent-raised service requests queue behind ops backlogs</t>
  </si>
  <si>
    <t>LLM + Workflow automation</t>
  </si>
  <si>
    <t>Request classification, suggested resolutions, auto-drafted responses with approval</t>
  </si>
  <si>
    <t>Service requests, policy data, resolution history</t>
  </si>
  <si>
    <t>Service Requests, Policies, Customers, Interactions</t>
  </si>
  <si>
    <t>Agents, Distribution Support, Service Ops</t>
  </si>
  <si>
    <t>Resolution TAT, first-time resolution, agent satisfaction</t>
  </si>
  <si>
    <t>Faster service keeps agents selling</t>
  </si>
  <si>
    <t>A11</t>
  </si>
  <si>
    <t>AI Nudges for Agents (Key Actions)</t>
  </si>
  <si>
    <t>Critical actions (renewals, birthdays, follow-ups) get missed</t>
  </si>
  <si>
    <t>Recommendation + Event triggers</t>
  </si>
  <si>
    <t>Event-triggered nudge engine with prioritisation and fatigue control</t>
  </si>
  <si>
    <t>Policy events, customer events, pipeline status, calendar</t>
  </si>
  <si>
    <t>Policies, Events, Leads, Sales Activity, Agents</t>
  </si>
  <si>
    <t>Nudge action rate, missed-action reduction, persistency contribution</t>
  </si>
  <si>
    <t>Low-cost, high-frequency productivity gain</t>
  </si>
  <si>
    <t>A12</t>
  </si>
  <si>
    <t>Next Best Action &amp; Goal-Planning AI</t>
  </si>
  <si>
    <t>Agents lack a prioritised daily plan linked to targets</t>
  </si>
  <si>
    <t>Recommendation engine + Optimization</t>
  </si>
  <si>
    <t>NBA models, goal-gap analytics, prioritised task planning</t>
  </si>
  <si>
    <t>Customer propensities, pipeline, targets, activity data</t>
  </si>
  <si>
    <t>Customers, Recommendations, Targets, Sales Activity, Agents</t>
  </si>
  <si>
    <t>Agents, Unit Managers</t>
  </si>
  <si>
    <t>Task completion, conversion on recommended actions, goal attainment</t>
  </si>
  <si>
    <t>The daily operating system of the AI-enabled agent</t>
  </si>
  <si>
    <t>A13</t>
  </si>
  <si>
    <t>AI-Enabled Agent Profiling</t>
  </si>
  <si>
    <t>Leaders cannot see strengths/gaps across hundreds of agents</t>
  </si>
  <si>
    <t>ML analytics + Clustering</t>
  </si>
  <si>
    <t>Skill/behaviour profiling, archetype clustering, gap-to-top-performer analysis</t>
  </si>
  <si>
    <t>Sales activity, product mix, conversion, training records</t>
  </si>
  <si>
    <t>Agents, Sales Activity, Performance Records, Training Records</t>
  </si>
  <si>
    <t>Agency Leaders, Distribution Development</t>
  </si>
  <si>
    <t>Scorecard coverage, targeted-development uptake, productivity delta</t>
  </si>
  <si>
    <t>Foundation for coaching, training and nudges</t>
  </si>
  <si>
    <t>A14</t>
  </si>
  <si>
    <t>Likelihood-to-Succeed Model</t>
  </si>
  <si>
    <t>Effort goes to deals that will not close</t>
  </si>
  <si>
    <t>Opportunity-scoring classification with pipeline features</t>
  </si>
  <si>
    <t>Pipeline data, customer engagement, quote history, agent factors</t>
  </si>
  <si>
    <t>Leads, Quotes, Sales Activity, Customers</t>
  </si>
  <si>
    <t>Win-rate uplift, forecast accuracy, effort reallocation</t>
  </si>
  <si>
    <t>Sharper pipeline focus</t>
  </si>
  <si>
    <t>A15</t>
  </si>
  <si>
    <t>AI Nudges for Agents (Productivity)</t>
  </si>
  <si>
    <t>Generic reminders are ignored; timing and relevance matter</t>
  </si>
  <si>
    <t>Recommendation + Behavioural ML</t>
  </si>
  <si>
    <t>Personalised nudge timing/content models, A/B-tested behavioural triggers</t>
  </si>
  <si>
    <t>Agent behaviour patterns, response history, activity data</t>
  </si>
  <si>
    <t>Agents, Sales Activity, Notifications, Targets</t>
  </si>
  <si>
    <t>Nudge engagement, activity uplift, active-agent ratio</t>
  </si>
  <si>
    <t>Compounding micro-gains across the force</t>
  </si>
  <si>
    <t>A16</t>
  </si>
  <si>
    <t>AI-Driven Pre-Interviews &amp; Evaluation</t>
  </si>
  <si>
    <t>High early attrition wastes recruitment and training spend</t>
  </si>
  <si>
    <t>NLP + Predictive ML</t>
  </si>
  <si>
    <t>Structured pre-interview analysis, candidate-success prediction, fairness-audited scoring</t>
  </si>
  <si>
    <t>Candidate profiles, assessments, historical agent performance</t>
  </si>
  <si>
    <t>Candidates, Agents, Performance Records, Training Records</t>
  </si>
  <si>
    <t>Recruitment Team, Agency Leaders</t>
  </si>
  <si>
    <t>12-month recruit survival, ramp-up speed, assessment fairness metrics</t>
  </si>
  <si>
    <t>Better recruit ROI (PRUVenture-style programs)</t>
  </si>
  <si>
    <t>A17</t>
  </si>
  <si>
    <t>Personalized AI-Delivered Training &amp; Coaching Modules</t>
  </si>
  <si>
    <t>One-size-fits-all training slows time-to-productivity</t>
  </si>
  <si>
    <t>Recommendation + LLM tutoring</t>
  </si>
  <si>
    <t>Skill-gap models, adaptive learning paths, LLM role-play simulation with feedback</t>
  </si>
  <si>
    <t>Training content, assessments, sales activity, profiling (A13)</t>
  </si>
  <si>
    <t>Agents, Training Records, Content Library, Sales Activity</t>
  </si>
  <si>
    <t>Agents, Trainers, Agency Development</t>
  </si>
  <si>
    <t>Time to first sale, certification pass rate, early productivity</t>
  </si>
  <si>
    <t>Faster productive agents at scale</t>
  </si>
  <si>
    <t>Medium (GenAI role-play emerging)</t>
  </si>
  <si>
    <t>A18</t>
  </si>
  <si>
    <t>AI Live Coaching Assistant</t>
  </si>
  <si>
    <t>Managers cannot join every agent meeting to coach</t>
  </si>
  <si>
    <t>Real-time meeting analysis, coaching prompts, post-meeting summaries and scoring</t>
  </si>
  <si>
    <t>Meeting audio (consented), coaching frameworks, best-practice library</t>
  </si>
  <si>
    <t>Interactions, Agents, Knowledge Articles, Performance Records</t>
  </si>
  <si>
    <t>Coached-meeting conversion, skill progression, consent compliance</t>
  </si>
  <si>
    <t>Extends A8 into systematic capability building</t>
  </si>
  <si>
    <t>A19</t>
  </si>
  <si>
    <t>Compensation Builder</t>
  </si>
  <si>
    <t>Commission calculation is complex, opaque and dispute-prone</t>
  </si>
  <si>
    <t>Rules + ML forecasting + LLM explanation</t>
  </si>
  <si>
    <t>Commission computation engine, forecast models, plain-language statement explanations</t>
  </si>
  <si>
    <t>Scheme rules, production data, adjustments, clawbacks</t>
  </si>
  <si>
    <t>Commissions, Schemes, Agents, Policies, Payments</t>
  </si>
  <si>
    <t>Agents, Distribution Finance</t>
  </si>
  <si>
    <t>Statement accuracy, dispute rate, forecast accuracy</t>
  </si>
  <si>
    <t>Trust and transparency in the compensation engine</t>
  </si>
  <si>
    <t>A20</t>
  </si>
  <si>
    <t>Real-Time Performance Monitoring for Leaders</t>
  </si>
  <si>
    <t>Leaders see performance in month-end reports, too late to act</t>
  </si>
  <si>
    <t>Streaming analytics + ML</t>
  </si>
  <si>
    <t>Live KPI pipelines, anomaly alerts, trend detection</t>
  </si>
  <si>
    <t>Live production data, activity data, targets</t>
  </si>
  <si>
    <t>Sales Activity, Agents, Targets, Policies</t>
  </si>
  <si>
    <t>Agency Leaders, Unit Managers, Distribution Strategy</t>
  </si>
  <si>
    <t>Dashboard adoption, time-to-intervention, target attainment</t>
  </si>
  <si>
    <t>From retrospective reporting to live steering</t>
  </si>
  <si>
    <t>A21</t>
  </si>
  <si>
    <t>Action-Oriented Real-Time Performance Monitoring</t>
  </si>
  <si>
    <t>Dashboards show what happened but not what to do</t>
  </si>
  <si>
    <t>Predictive ML + LLM recommendations</t>
  </si>
  <si>
    <t>Driver analysis, intervention recommendation models, LLM coaching-plan generation (PruAction-style)</t>
  </si>
  <si>
    <t>Performance data (A20), profiling (A13), intervention outcomes</t>
  </si>
  <si>
    <t>Agents, Performance Records, Targets, Recommendations</t>
  </si>
  <si>
    <t>Agency Leaders, Unit Managers</t>
  </si>
  <si>
    <t>Intervention success rate, coached-cohort productivity delta, active-agent ratio</t>
  </si>
  <si>
    <t>Prudential PruAction benchmark: GenAI performance management</t>
  </si>
  <si>
    <t>Health AI — Detailed Breakdown (7 listed in source (header states 8) initiatives)</t>
  </si>
  <si>
    <t>H1  —  AI-Powered Document Digitization</t>
  </si>
  <si>
    <t>Complexity</t>
  </si>
  <si>
    <t>Roadmap Phase</t>
  </si>
  <si>
    <t>H2  —  GenAI Real-Time FWA Detection</t>
  </si>
  <si>
    <t>H3  —  ML-Powered Predictive Risk Scoring</t>
  </si>
  <si>
    <t>H4  —  Intelligent Rule Engine &amp; Decision Automation</t>
  </si>
  <si>
    <t>H5  —  AI Portfolio-Level Claims Intelligence &amp; Provider Analytics</t>
  </si>
  <si>
    <t>H6  —  GTM (Go-To-Market) Rollout</t>
  </si>
  <si>
    <t>H7  —  MVP 2 — Expanded Health AI Capabilities</t>
  </si>
  <si>
    <t>Operations AI — Detailed Breakdown (18 listed in source (rows 1-17 + 2B) initiatives)</t>
  </si>
  <si>
    <t>O1  —  Ingest, Extract &amp; Summarize Medical Information (Life &amp; Health)</t>
  </si>
  <si>
    <t>O2  —  Structure Unstructured Data for Underwriting</t>
  </si>
  <si>
    <t>O2B  —  Automated KYC Verification</t>
  </si>
  <si>
    <t>O3  —  GenAI Proactive Data-Quality Detection</t>
  </si>
  <si>
    <t>O4  —  Generate Indicative Decisions for Underwriters</t>
  </si>
  <si>
    <t>O5  —  Generate Indicative Decisions for Agents / Banca RMs</t>
  </si>
  <si>
    <t>O6  —  Helpdesk Chatbot for Agents / Banca RMs</t>
  </si>
  <si>
    <t>O7  —  Identify High-Value Distribution Partners / Clients / Cases</t>
  </si>
  <si>
    <t>O8  —  Technical Pricing</t>
  </si>
  <si>
    <t>O9  —  Proactive Renewals</t>
  </si>
  <si>
    <t>O10  —  Market-Based / Lifetime-Based Pricing &amp; Elasticity Models</t>
  </si>
  <si>
    <t>O11  —  Customer Self-Service Assistant (Chatbot)</t>
  </si>
  <si>
    <t>O12  —  Smart Routing</t>
  </si>
  <si>
    <t>O13  —  GenAI Real-Time Coaching</t>
  </si>
  <si>
    <t>O14  —  Servicing Staff Support AI</t>
  </si>
  <si>
    <t>O15  —  Predictive Customer Behaviour &amp; Proactive Servicing</t>
  </si>
  <si>
    <t>O16  —  AI-Enabled Claims Adjudication</t>
  </si>
  <si>
    <t>O17  —  Guided Claims</t>
  </si>
  <si>
    <t>Agency AI — Detailed Breakdown (21 initiatives)</t>
  </si>
  <si>
    <t>A1  —  Hyper-Personalized Product Offering</t>
  </si>
  <si>
    <t>A2  —  Hyper-Personalized Campaigning &amp; Lead Generation</t>
  </si>
  <si>
    <t>A3  —  Pre-Sales Intelligence Engine</t>
  </si>
  <si>
    <t>A4  —  Automated Funnel Management</t>
  </si>
  <si>
    <t>A5  —  Investment Earning Simulator</t>
  </si>
  <si>
    <t>A6  —  AI "Get Smart" / Pre-Pitch Support</t>
  </si>
  <si>
    <t>A7  —  Value-Based Segmentation &amp; Prioritization</t>
  </si>
  <si>
    <t>A8  —  In-the-Moment Live Sales Coach</t>
  </si>
  <si>
    <t>A9  —  Proactive Servicing &amp; Admin Automation AI</t>
  </si>
  <si>
    <t>A10  —  Automated Reactive Servicing</t>
  </si>
  <si>
    <t>A11  —  AI Nudges for Agents (Key Actions)</t>
  </si>
  <si>
    <t>A12  —  Next Best Action &amp; Goal-Planning AI</t>
  </si>
  <si>
    <t>A13  —  AI-Enabled Agent Profiling</t>
  </si>
  <si>
    <t>A14  —  Likelihood-to-Succeed Model</t>
  </si>
  <si>
    <t>A15  —  AI Nudges for Agents (Productivity)</t>
  </si>
  <si>
    <t>A16  —  AI-Driven Pre-Interviews &amp; Evaluation</t>
  </si>
  <si>
    <t>A17  —  Personalized AI-Delivered Training &amp; Coaching Modules</t>
  </si>
  <si>
    <t>A18  —  AI Live Coaching Assistant</t>
  </si>
  <si>
    <t>A19  —  Compensation Builder</t>
  </si>
  <si>
    <t>A20  —  Real-Time Performance Monitoring for Leaders</t>
  </si>
  <si>
    <t>A21  —  Action-Oriented Real-Time Performance Monitoring</t>
  </si>
  <si>
    <t>Data Requirements by Initiative</t>
  </si>
  <si>
    <t>Initiative</t>
  </si>
  <si>
    <t>Source Systems</t>
  </si>
  <si>
    <t>Master Data</t>
  </si>
  <si>
    <t>Events</t>
  </si>
  <si>
    <t>External Data</t>
  </si>
  <si>
    <t>Document Data</t>
  </si>
  <si>
    <t>• Policy Administration System
• Claims Management System
• CRM / Customer Master (MDM)
• Document Management (ECM)
• Provider Network System</t>
  </si>
  <si>
    <t>Customer, Provider</t>
  </si>
  <si>
    <t>• Claim lifecycle events</t>
  </si>
  <si>
    <t>—</t>
  </si>
  <si>
    <t>Medical reports, Discharge summaries, Prescriptions, Lab reports</t>
  </si>
  <si>
    <t>• Claims Management System
• Provider Network System</t>
  </si>
  <si>
    <t>Provider</t>
  </si>
  <si>
    <t>Identity documents, Provider bills/invoices</t>
  </si>
  <si>
    <t>• Policy Administration System
• Claims Management System
• CRM / Customer Master (MDM)
• Document Management (ECM)</t>
  </si>
  <si>
    <t>Customer</t>
  </si>
  <si>
    <t>• Policy Administration System
• Claims Management System</t>
  </si>
  <si>
    <t>Customer, Product</t>
  </si>
  <si>
    <t>Identity documents</t>
  </si>
  <si>
    <t>• Learning Management System
• Knowledge Base / Intranet</t>
  </si>
  <si>
    <t>• Policy lifecycle events</t>
  </si>
  <si>
    <t>SOPs &amp; circulars</t>
  </si>
  <si>
    <t>• Claims Management System
• Document Management (ECM)
• Provider Network System</t>
  </si>
  <si>
    <t>• Policy Administration System
• CRM / Customer Master (MDM)
• Document Management (ECM)</t>
  </si>
  <si>
    <t>Identity documents, Application/claim forms</t>
  </si>
  <si>
    <t>• CRM / Customer Master (MDM)
• Document Management (ECM)
• Compliance / Screening Systems</t>
  </si>
  <si>
    <t>Sanctions / PEP watchlists</t>
  </si>
  <si>
    <t>• Policy Administration System
• Claims Management System
• CRM / Customer Master (MDM)
• Agency Portal / SFA</t>
  </si>
  <si>
    <t>Customer, Agent, Reference/Code sets</t>
  </si>
  <si>
    <t>• Policy Administration System
• Document Management (ECM)</t>
  </si>
  <si>
    <t>Product</t>
  </si>
  <si>
    <t>• Policy Administration System
• CRM / Customer Master (MDM)
• Agency Portal / SFA
• Campaign / Martech Platform
• Contact Centre / Telephony</t>
  </si>
  <si>
    <t>Customer, Product, Agent</t>
  </si>
  <si>
    <t>• Service interaction events
• Campaign response events</t>
  </si>
  <si>
    <t>• Policy Administration System
• Document Management (ECM)
• Knowledge Base / Intranet</t>
  </si>
  <si>
    <t>• Policy Administration System
• Claims Management System
• Provider Network System
• Partner / Bancassurance Systems</t>
  </si>
  <si>
    <t>Provider, Partner/Bank</t>
  </si>
  <si>
    <t>• Policy Administration System
• Claims Management System
• Actuarial / Valuation Systems</t>
  </si>
  <si>
    <t>• Policy Administration System
• CRM / Customer Master (MDM)
• Agency Portal / SFA
• Finance / Payments Platform
• Contact Centre / Telephony</t>
  </si>
  <si>
    <t>Customer, Agent</t>
  </si>
  <si>
    <t>• Premium/payment events
• Service interaction events</t>
  </si>
  <si>
    <t>• Policy Administration System
• CRM / Customer Master (MDM)
• Contact Centre / Telephony
• Knowledge Base / Intranet</t>
  </si>
  <si>
    <t>• Service interaction events</t>
  </si>
  <si>
    <t>• Claims Management System</t>
  </si>
  <si>
    <t>• Contact Centre / Telephony
• Knowledge Base / Intranet</t>
  </si>
  <si>
    <t>• Service interaction events
• Call events</t>
  </si>
  <si>
    <t>• Policy Administration System
• CRM / Customer Master (MDM)
• Finance / Payments Platform
• Contact Centre / Telephony</t>
  </si>
  <si>
    <t>• Premium/payment events
• Service interaction events
• Digital/clickstream events</t>
  </si>
  <si>
    <t>• Policy Administration System
• Claims Management System
• Document Management (ECM)
• Provider Network System</t>
  </si>
  <si>
    <t>Application/claim forms, Provider bills/invoices</t>
  </si>
  <si>
    <t>• Claims Management System
• Document Management (ECM)
• Knowledge Base / Intranet</t>
  </si>
  <si>
    <t>UW/ops manuals</t>
  </si>
  <si>
    <t>• Policy Administration System
• CRM / Customer Master (MDM)</t>
  </si>
  <si>
    <t>• Life events</t>
  </si>
  <si>
    <t>• CRM / Customer Master (MDM)
• Campaign / Martech Platform
• Learning Management System</t>
  </si>
  <si>
    <t>• Campaign response events</t>
  </si>
  <si>
    <t>• Policy Administration System
• CRM / Customer Master (MDM)
• Contact Centre / Telephony</t>
  </si>
  <si>
    <t>• Policy Administration System
• Agency Portal / SFA</t>
  </si>
  <si>
    <t>Agent</t>
  </si>
  <si>
    <t>• Lead status events</t>
  </si>
  <si>
    <t>• CRM / Customer Master (MDM)</t>
  </si>
  <si>
    <t>Application/claim forms</t>
  </si>
  <si>
    <t>• CRM / Customer Master (MDM)
• Knowledge Base / Intranet</t>
  </si>
  <si>
    <t>• Policy Administration System
• Claims Management System
• CRM / Customer Master (MDM)
• Finance / Payments Platform
• Campaign / Martech Platform</t>
  </si>
  <si>
    <t>• Premium/payment events
• Claim lifecycle events</t>
  </si>
  <si>
    <t>• CRM / Customer Master (MDM)
• Contact Centre / Telephony
• Knowledge Base / Intranet</t>
  </si>
  <si>
    <t>• Policy Administration System
• CRM / Customer Master (MDM)
• Agency Portal / SFA</t>
  </si>
  <si>
    <t>• CRM / Customer Master (MDM)
• Agency Portal / SFA</t>
  </si>
  <si>
    <t>• Agency Portal / SFA
• Learning Management System</t>
  </si>
  <si>
    <t>• Engagement events
• Lead status events</t>
  </si>
  <si>
    <t>• Agency Portal / SFA</t>
  </si>
  <si>
    <t>• Agency Portal / SFA
• Contact Centre / Telephony
• Knowledge Base / Intranet</t>
  </si>
  <si>
    <t>• Policy Administration System
• Agency Portal / SFA
• Finance / Payments Platform</t>
  </si>
  <si>
    <t>• Premium/payment events</t>
  </si>
  <si>
    <t>ML / AI Model Types by Initiative  (● = core, blank = not required)</t>
  </si>
  <si>
    <t>Classification</t>
  </si>
  <si>
    <t>Regression</t>
  </si>
  <si>
    <t>Clustering</t>
  </si>
  <si>
    <t>GenAI (LLM)</t>
  </si>
  <si>
    <t>Primary Modeling Notes</t>
  </si>
  <si>
    <t>●</t>
  </si>
  <si>
    <t>Business KPI Impact by Initiative  (High / Medium / —)</t>
  </si>
  <si>
    <t>Revenue Uplift</t>
  </si>
  <si>
    <t>Claims Reduction</t>
  </si>
  <si>
    <t>Productivity</t>
  </si>
  <si>
    <t>Customer Satisfaction</t>
  </si>
  <si>
    <t>Agent Productivity</t>
  </si>
  <si>
    <t>Cost Reduction</t>
  </si>
  <si>
    <t>Primary KPIs</t>
  </si>
  <si>
    <t>Industry Benchmark — Pan-Asian &amp; Global Insurers (public information, researched Aug 2026)</t>
  </si>
  <si>
    <t>Based on public announcements, annual reports and press coverage as of Aug 2026; maturity ratings are directional analyst judgements, not audited scores.</t>
  </si>
  <si>
    <t>Company</t>
  </si>
  <si>
    <t>Current AI Investments</t>
  </si>
  <si>
    <t>Publicly Announced Capabilities</t>
  </si>
  <si>
    <t>GenAI Maturity</t>
  </si>
  <si>
    <t>Claims AI</t>
  </si>
  <si>
    <t>Underwriting AI</t>
  </si>
  <si>
    <t>Agent AI</t>
  </si>
  <si>
    <t>Customer AI</t>
  </si>
  <si>
    <t>Responsible AI Initiatives</t>
  </si>
  <si>
    <t>Relative Maturity</t>
  </si>
  <si>
    <t>Key Public Sources (2025-26)</t>
  </si>
  <si>
    <t>Prudential (plc)</t>
  </si>
  <si>
    <t>AI a core growth lever across Asia/Africa; GenAI platforms for distribution and health; agentic AI pilots (concierge scheduling); US affiliate reports 260+ active AI use cases</t>
  </si>
  <si>
    <t>PruAction GenAI agent performance-management platform launched in Singapore with multi-market rollout planned; 'Just Ask' AI underwriting assistant for advisors; AI health &amp; claims initiatives</t>
  </si>
  <si>
    <t>High — GenAI embedded in agency management and advisor tooling; agentic pilots underway</t>
  </si>
  <si>
    <t>Medium-High — claims automation and EvolutionIQ-style claims optimization partnerships</t>
  </si>
  <si>
    <t>High — accelerated/automated underwriting, AI UW assistants, multi-test validation approach</t>
  </si>
  <si>
    <t>High — PruAction coaching, PRUVenture recruitment, advisor copilots</t>
  </si>
  <si>
    <t>High — engagement, health propositions, conversational service</t>
  </si>
  <si>
    <t>Human-centred AI positioning; governance and validation testing of AI outputs</t>
  </si>
  <si>
    <t>Prudential plc FY2025 report; news.prudential.com (May 2026); fintech.global (May 2026); Computer Weekly</t>
  </si>
  <si>
    <t>AIA</t>
  </si>
  <si>
    <t>Sustained investment in AI underwriting/claims transformation and digital health; insurtech partnerships (Qumata, AiDa, Vymo, WhiteCoat)</t>
  </si>
  <si>
    <t>AI-powered pre-underwriting broadening insurable pool (Celent-recognised); claims automation; AIA Vitality wellness data flywheel; GenAI sales coaching and lead prioritisation for agents</t>
  </si>
  <si>
    <t>High — GenAI coaching and servicing tools scaling on top of mature predictive base</t>
  </si>
  <si>
    <t>High — claims transformation recognised industry-wide</t>
  </si>
  <si>
    <t>High — CI pre-underwriting and automated UW at scale</t>
  </si>
  <si>
    <t>High — agent productivity tooling, lead prioritisation, 24/7 coaching</t>
  </si>
  <si>
    <t>High — wellness-led engagement via Vitality ecosystem</t>
  </si>
  <si>
    <t>Responsible AI within group digital governance; wellness data consent frameworks</t>
  </si>
  <si>
    <t>Celent case study; ResearchAndMarkets AIA Enterprise Tech 2025; MatrixBCG analysis (2026)</t>
  </si>
  <si>
    <t>Manulife</t>
  </si>
  <si>
    <t>US$1B+ enterprise AI value target by 2027 (US$300M realised by end-2025); 5-year expanded Microsoft partnership; Copilot for 30,000+ staff; Agent 365 governance control plane</t>
  </si>
  <si>
    <t>ChatMFC internal GenAI assistant; John Hancock 'Quick Quote' GenAI underwriting tool; GenAI supporting 110M+ service calls/yr; agentic workflows in production; 30% developer productivity via GitHub Copilot</t>
  </si>
  <si>
    <t>High — enterprise-wide GenAI with explicit ROI tracking and agent governance layer</t>
  </si>
  <si>
    <t>Medium-High — claims/service automation scaling across NA and Asia</t>
  </si>
  <si>
    <t>High — Quick Quote GenAI UW support live in market</t>
  </si>
  <si>
    <t>Medium-High — advisor enablement expanding; strongest in employee/service AI</t>
  </si>
  <si>
    <t>High — call-centre GenAI with source-backed answers and confidence scores</t>
  </si>
  <si>
    <t>First large deployment of Microsoft Agent 365 governance; AI Community of Practice (~5,000 staff); exec AI training</t>
  </si>
  <si>
    <t>Manulife–Microsoft release (Jul 2026); Digital Insurance (Jun 2026)</t>
  </si>
  <si>
    <t>Sun Life</t>
  </si>
  <si>
    <t>US$1.2B+/yr digital transformation spend; enterprise GenAI platform; 2026-2028 digital &amp; tech strategy centred on advisors, modern practice, embedded AI governance</t>
  </si>
  <si>
    <t>'Sun Life Asks' internal GenAI (3M+ queries, ~20k weekly visits); advisor Notes Assistant; GenAI physician-statement summarisation for UW (exploration); AI-driven UW cutting standard policy issuance from days to minutes; Lumino Health AI navigation</t>
  </si>
  <si>
    <t>Medium-High — strong internal scale; customer-facing GenAI deployed cautiously</t>
  </si>
  <si>
    <t>Medium — established predictive models in claims/risk</t>
  </si>
  <si>
    <t>Medium-High — accelerated UW plus GenAI evidence summarisation pilots</t>
  </si>
  <si>
    <t>Medium-High — advisor meeting-note and productivity tools in Canada/Asia</t>
  </si>
  <si>
    <t>Medium-High — proactive engagement to 30M+ clients; HK Gen A.I. Sandbox++ participation</t>
  </si>
  <si>
    <t>Named Responsible AI framework; 'governance by design' from experiment to production; continuous testing for agentic AI</t>
  </si>
  <si>
    <t>CDO Magazine (Dec 2025); sunlife.com Responsible AI; SCMP (May 2026); MatrixBCG (2026)</t>
  </si>
  <si>
    <t>Allianz</t>
  </si>
  <si>
    <t>Ranked #1 of 30 insurers in 2026 Evident AI Index; largest AI talent pool in industry (~28% larger than AXA); global Anthropic partnership (workforce, agentic operations, compliance)</t>
  </si>
  <si>
    <t>AllianzGPT enterprise assistant; Insurance Copilot for claims (live since 2024); Project Nemo multi-agent food-spoilage claims (~80% faster, human-in-the-loop); BRIAN RAG assistant for P&amp;C/Specialty underwriters</t>
  </si>
  <si>
    <t>High — market-leading; agentic claims in production plus enterprise GenAI platform</t>
  </si>
  <si>
    <t>High — Copilot + agentic claims automation in production</t>
  </si>
  <si>
    <t>High — BRIAN RAG over UW guides in full production</t>
  </si>
  <si>
    <t>Medium — focus more on employee/underwriter than tied-agent tooling</t>
  </si>
  <si>
    <t>Medium-High — service automation and prevention propositions</t>
  </si>
  <si>
    <t>Safety-first Anthropic partnership framing; human-in-the-loop mandated in agentic claims; large AI upskilling programs</t>
  </si>
  <si>
    <t>Very High (Evident #1, 2026)</t>
  </si>
  <si>
    <t>Evident AI Index 2026; allianz.com AI hub; Insurance Business (Jun 2026); InsureBench</t>
  </si>
  <si>
    <t>AXA</t>
  </si>
  <si>
    <t>AI-at-scale strategy; Secure GPT live 3 years for 140,000 employees; global Microsoft 365 Copilot rollout announced Jul 2026; long-time Evident leader (recently overtaken by Allianz)</t>
  </si>
  <si>
    <t>Secure GPT enterprise LLM platform (text, summarisation, translation, code); RAG underwriting-guidance pilot cut guide lookup from ~10 min to &lt;3 min with 86% strong user ratings; deliberate, governance-first scaling</t>
  </si>
  <si>
    <t>High — early enterprise GenAI mover; measured production scaling</t>
  </si>
  <si>
    <t>Medium-High — claims automation mature in motor/health across entities</t>
  </si>
  <si>
    <t>High — RAG UW guidance and decision support scaling</t>
  </si>
  <si>
    <t>Medium — agent/advisor tooling less publicised than employee platform</t>
  </si>
  <si>
    <t>Medium-High — service and engagement AI across markets</t>
  </si>
  <si>
    <t>Responsible AI and employee-dialogue approach to AI deployment; data-privacy-first Secure GPT design</t>
  </si>
  <si>
    <t>High (Evident #2, 2026)</t>
  </si>
  <si>
    <t>axa.com press (Jul 2026); Computing.co.uk (Feb 2026); Digital Insurer case study; Evident Index 2026</t>
  </si>
  <si>
    <t>Ping An</t>
  </si>
  <si>
    <t>'AI in All' strategy; decade-plus of AI R&amp;D; among world's largest insurance AI patent holders; showcased healthcare/insurance/payments AI at WAIC 2026</t>
  </si>
  <si>
    <t>P&amp;C: 100% AI coverage of core business scenarios, ~80% operational efficiency gain claimed; 93% of new vehicle policies auto-issued (6 min → 1.2 min); EagleX risk platform (100+ risk models); AI Family Doctor with 90M MAU; disease-specific AI product portfolio</t>
  </si>
  <si>
    <t>Very High — deepest end-to-end deployment among peers; proprietary model stack</t>
  </si>
  <si>
    <t>Very High — image-based assessment, auto-issuance and STP claims at national scale</t>
  </si>
  <si>
    <t>High — automated UW embedded across P&amp;C and life</t>
  </si>
  <si>
    <t>High — AskBob-style agent assistants and AI-driven agent management</t>
  </si>
  <si>
    <t>Very High — AI Family Doctor, service robots covering vast majority of service volume</t>
  </si>
  <si>
    <t>In-house AI ethics/governance framework; regulatory alignment in China; risk-prevention (EagleX) positioning</t>
  </si>
  <si>
    <t>Very High</t>
  </si>
  <si>
    <t>Ping An Group / PRNewswire WAIC 2026 release (Jul 2026)</t>
  </si>
  <si>
    <t>Implementation Roadmap — Quick Wins → Phase 3</t>
  </si>
  <si>
    <t>Est. Complexity</t>
  </si>
  <si>
    <t>Est. Business Value</t>
  </si>
  <si>
    <t>Indicative Timing</t>
  </si>
  <si>
    <t>Rationale / Dependencies</t>
  </si>
  <si>
    <t>Quick Win  (0-6 months)  —  13 initiatives  —  Low complexity, proven tech, fast payback; builds momentum and funds the journey</t>
  </si>
  <si>
    <t>0-6 months</t>
  </si>
  <si>
    <t>Maturity: High. Value driver: Shared extraction service feeding UW and claims</t>
  </si>
  <si>
    <t>Maturity: High. Value driver: Feeds indicative UW decisions (O4) and pricing (O8)</t>
  </si>
  <si>
    <t>Maturity: High. Value driver: Faster onboarding with lower compliance risk</t>
  </si>
  <si>
    <t>Maturity: Medium. Value driver: Foundation multiplier for every other initiative</t>
  </si>
  <si>
    <t>Maturity: High. Value driver: Sun Life Asks-style internal productivity at scale</t>
  </si>
  <si>
    <t>Maturity: Medium-High. Value driver: Better conversations, higher conversion</t>
  </si>
  <si>
    <t>Maturity: Medium-High. Value driver: Clearer value stories accelerate closing</t>
  </si>
  <si>
    <t>Maturity: Medium. Value driver: Raises average pitch to top-quartile standard</t>
  </si>
  <si>
    <t>Maturity: High. Value driver: Focuses force effort where value is</t>
  </si>
  <si>
    <t>Maturity: High. Value driver: Low-cost, high-frequency productivity gain</t>
  </si>
  <si>
    <t>Maturity: Medium-High. Value driver: Foundation for coaching, training and nudges</t>
  </si>
  <si>
    <t>Maturity: Medium-High. Value driver: Compounding micro-gains across the force</t>
  </si>
  <si>
    <t>Maturity: Medium-High. Value driver: From retrospective reporting to live steering</t>
  </si>
  <si>
    <t>Phase 1  (6-18 months)  —  20 initiatives  —  Core value engines on strengthened data foundations (Customer 360, document AI platform, RAG stack)</t>
  </si>
  <si>
    <t>6-18 months</t>
  </si>
  <si>
    <t>Maturity: High (widely adopted). Value driver: Faster processing and reduced manual effort across UW and claims</t>
  </si>
  <si>
    <t>Maturity: Medium-High. Value driver: Direct claims-cost avoidance and loss-ratio improvement</t>
  </si>
  <si>
    <t>Maturity: High. Value driver: Consistent risk selection and faster decisions</t>
  </si>
  <si>
    <t>Maturity: High. Value driver: Straight-through decisions with human-in-the-loop for exceptions</t>
  </si>
  <si>
    <t>Maturity: Medium-High. Value driver: Better provider negotiation and network steering</t>
  </si>
  <si>
    <t>Maturity: N/A (program phase). Value driver: Converts Health AI builds into realised business value</t>
  </si>
  <si>
    <t>Maturity: High. Value driver: Higher STP issuance and capacity uplift</t>
  </si>
  <si>
    <t>Maturity: High. Value driver: Bridges Operations data into Agency selling motion</t>
  </si>
  <si>
    <t>Maturity: High. Value driver: Direct revenue retention</t>
  </si>
  <si>
    <t>Maturity: High. Value driver: Contact-centre cost reduction and 24/7 service</t>
  </si>
  <si>
    <t>Maturity: Medium-High. Value driver: Throughput and SLA stability</t>
  </si>
  <si>
    <t>Maturity: High. Value driver: Manulife-style copilot productivity across servicing</t>
  </si>
  <si>
    <t>Maturity: High. Value driver: Shifts operations from reactive to proactive</t>
  </si>
  <si>
    <t>Maturity: High. Value driver: Core revenue engine for personalised selling</t>
  </si>
  <si>
    <t>Maturity: High. Value driver: Higher marketing ROI with personalisation at scale</t>
  </si>
  <si>
    <t>Maturity: Medium-High. Value driver: Systematic conversion uplift</t>
  </si>
  <si>
    <t>Maturity: Medium-High. Value driver: Faster service keeps agents selling</t>
  </si>
  <si>
    <t>Maturity: High. Value driver: The daily operating system of the AI-enabled agent</t>
  </si>
  <si>
    <t>Maturity: High. Value driver: Sharper pipeline focus</t>
  </si>
  <si>
    <t>Maturity: Medium-High. Value driver: Prudential PruAction benchmark: GenAI performance management</t>
  </si>
  <si>
    <t>Phase 2  (18-30 months)  —  9 initiatives  —  Advanced analytics needing richer data/graph foundations and change management</t>
  </si>
  <si>
    <t>18-30 months</t>
  </si>
  <si>
    <t>Maturity: N/A (program phase). Value driver: Compounding value on the MVP foundation</t>
  </si>
  <si>
    <t>Maturity: Medium. Value driver: Better network economics and partner steering</t>
  </si>
  <si>
    <t>Maturity: Medium-High. Value driver: Margin protection with competitive positioning</t>
  </si>
  <si>
    <t>Maturity: Medium-High. Value driver: Quality uplift on 100% of interactions</t>
  </si>
  <si>
    <t>Maturity: High. Value driver: Flagship cost and CX initiative (Ping An/Allianz benchmark)</t>
  </si>
  <si>
    <t>Maturity: Medium-High. Value driver: Retention and experience uplift</t>
  </si>
  <si>
    <t>Maturity: Medium. Value driver: Better recruit ROI (PRUVenture-style programs)</t>
  </si>
  <si>
    <t>Maturity: Medium (GenAI role-play emerging). Value driver: Faster productive agents at scale</t>
  </si>
  <si>
    <t>Maturity: Medium. Value driver: Trust and transparency in the compensation engine</t>
  </si>
  <si>
    <t>Phase 3  (30-42 months)  —  4 initiatives  —  Agentic and ecosystem plays; require mature governance, integration depth and trust</t>
  </si>
  <si>
    <t>30-42 months</t>
  </si>
  <si>
    <t>Maturity: Low-Medium (regulated constraint). Value driver: Win-rate and margin balance; requires strong governance</t>
  </si>
  <si>
    <t>Maturity: Medium-High. Value driver: Consistency and faster onboarding of claims staff</t>
  </si>
  <si>
    <t>Maturity: Low (emerging). Value driver: Frontier capability; requires consent and strong guardrails</t>
  </si>
  <si>
    <t>Maturity: Low (emerging). Value driver: Extends A8 into systematic capability building</t>
  </si>
  <si>
    <t>PORTFOLIO SUMMARY</t>
  </si>
  <si>
    <t># Initiatives</t>
  </si>
  <si>
    <t>Avg Value Score</t>
  </si>
  <si>
    <t>Avg Complexity Score</t>
  </si>
  <si>
    <t xml:space="preserve">Medical reports are manual and slow </t>
  </si>
  <si>
    <t>Structured medical record and summary ; ICD codes, risk indicators</t>
  </si>
  <si>
    <t xml:space="preserve">Fraudulent or duplicate claims inflate claims cost </t>
  </si>
  <si>
    <t>Fraud detection models + LLM reasoning  + Graph AI</t>
  </si>
  <si>
    <t xml:space="preserve">Fraud score, suspicious claims investigation queue </t>
  </si>
  <si>
    <t xml:space="preserve">Difficult to assess claim or health risk manually </t>
  </si>
  <si>
    <t xml:space="preserve">Risk score (Low/Medium/High) with drivers </t>
  </si>
  <si>
    <t xml:space="preserve">Manual approval decisions are slow and inconsistent </t>
  </si>
  <si>
    <t xml:space="preserve">Rule engine + AI recommendations </t>
  </si>
  <si>
    <t xml:space="preserve">Approve / Reject / Escalate recommendation with rationale </t>
  </si>
  <si>
    <t xml:space="preserve">Limited visibility into provider performance </t>
  </si>
  <si>
    <t xml:space="preserve">Claims analytics + Clustering </t>
  </si>
  <si>
    <t xml:space="preserve">Provider scorecards, fraud trends, treatment patterns, cost leakage dashboard </t>
  </si>
  <si>
    <t xml:space="preserve">Commercial rollout of Health AI capabilities </t>
  </si>
  <si>
    <t xml:space="preserve">Operational readiness required to deploy AI into live health business </t>
  </si>
  <si>
    <t xml:space="preserve">Deployment plan and live rollout </t>
  </si>
  <si>
    <t xml:space="preserve">Second implementation phase extending Health AI scope </t>
  </si>
  <si>
    <t xml:space="preserve">Initial MVP covers core scope; expanded datasets and features needed </t>
  </si>
  <si>
    <t>Additional datasets : expanded document types, external health data</t>
  </si>
  <si>
    <t xml:space="preserve">Advanced AI features across the Health stack </t>
  </si>
  <si>
    <t xml:space="preserve">Convert PDFs into structured information </t>
  </si>
  <si>
    <t>Medical summary ; structured fields with confidence scores</t>
  </si>
  <si>
    <t xml:space="preserve">Extract underwriting attributes into a structured profile </t>
  </si>
  <si>
    <t xml:space="preserve">Structured underwriting profile </t>
  </si>
  <si>
    <t xml:space="preserve">Automate identity verification </t>
  </si>
  <si>
    <t>Verified customer ; KYC status and exception queue</t>
  </si>
  <si>
    <t xml:space="preserve">Detect missing or incorrect data automatically </t>
  </si>
  <si>
    <t>Data quality alerts ; DQ dashboard and remediation queues</t>
  </si>
  <si>
    <t xml:space="preserve">Recommend underwriting outcomes </t>
  </si>
  <si>
    <t xml:space="preserve">Approve / Decline / Review recommendation </t>
  </si>
  <si>
    <t xml:space="preserve">Suggest next actions and products to agents </t>
  </si>
  <si>
    <t xml:space="preserve">Recommended products or follow-ups </t>
  </si>
  <si>
    <t xml:space="preserve">Optimise premium via technical pricing models </t>
  </si>
  <si>
    <t xml:space="preserve">Recommended premium </t>
  </si>
  <si>
    <t xml:space="preserve">Predict renewal likelihood </t>
  </si>
  <si>
    <t>Renewal probability  with recommended interventions</t>
  </si>
  <si>
    <t xml:space="preserve">Reduce call-centre load with an AI chatbot </t>
  </si>
  <si>
    <t>AI chatbot  resolving routine service needs</t>
  </si>
  <si>
    <t xml:space="preserve">Route work automatically to the right resource </t>
  </si>
  <si>
    <t>Case assignment  with priority and SLA prediction</t>
  </si>
  <si>
    <t xml:space="preserve">Assist staff live during interactions </t>
  </si>
  <si>
    <t>Live recommendations  during interactions</t>
  </si>
  <si>
    <t xml:space="preserve">Internal operations copilot </t>
  </si>
  <si>
    <t>Agent assistance : copilot embedded in servicing workflow</t>
  </si>
  <si>
    <t xml:space="preserve">Automated claim assessment </t>
  </si>
  <si>
    <t>Recommended decision ; auto-adjudicated payment for clean claims</t>
  </si>
  <si>
    <t xml:space="preserve">Step-by-step claim handling </t>
  </si>
  <si>
    <t>Guided workflow  for claim handlers</t>
  </si>
  <si>
    <t xml:space="preserve">Sell the right product to each customer </t>
  </si>
  <si>
    <t xml:space="preserve">Personalised recommendations </t>
  </si>
  <si>
    <t xml:space="preserve">Improve marketing ROI </t>
  </si>
  <si>
    <t>Target customer lists ; optimised campaign plans</t>
  </si>
  <si>
    <t xml:space="preserve">Prepare agents before meetings </t>
  </si>
  <si>
    <t>Customer briefing  before every meeting</t>
  </si>
  <si>
    <t xml:space="preserve">Increase conversion across the sales funnel </t>
  </si>
  <si>
    <t>Pipeline dashboard  with automated next steps</t>
  </si>
  <si>
    <t xml:space="preserve">Illustrate investment returns for customers </t>
  </si>
  <si>
    <t>Future value projections  in customer-friendly form</t>
  </si>
  <si>
    <t xml:space="preserve">Help agents prepare pitches </t>
  </si>
  <si>
    <t xml:space="preserve">Sales pitch recommendations </t>
  </si>
  <si>
    <t xml:space="preserve">Segment customers by profitability </t>
  </si>
  <si>
    <t>Customer segments  with treatment strategies</t>
  </si>
  <si>
    <t xml:space="preserve">Guide live sales conversations </t>
  </si>
  <si>
    <t>Next talking points  in real time</t>
  </si>
  <si>
    <t xml:space="preserve">Respond quickly to service requests </t>
  </si>
  <si>
    <t xml:space="preserve">Suggested resolutions </t>
  </si>
  <si>
    <t xml:space="preserve">Remind agents about key actions </t>
  </si>
  <si>
    <t xml:space="preserve">Action notifications </t>
  </si>
  <si>
    <t xml:space="preserve">Recommend optimal actions aligned to goals </t>
  </si>
  <si>
    <t xml:space="preserve">Prioritised task list </t>
  </si>
  <si>
    <t xml:space="preserve">Understand agent strengths </t>
  </si>
  <si>
    <t xml:space="preserve">Agent scorecards </t>
  </si>
  <si>
    <t xml:space="preserve">Predict deal success </t>
  </si>
  <si>
    <t xml:space="preserve">Opportunity probability </t>
  </si>
  <si>
    <t xml:space="preserve">Improve productivity via personalised reminders </t>
  </si>
  <si>
    <t xml:space="preserve">Personalised reminders </t>
  </si>
  <si>
    <t xml:space="preserve">Support recruitment with AI candidate assessment </t>
  </si>
  <si>
    <t xml:space="preserve">Candidate assessment </t>
  </si>
  <si>
    <t xml:space="preserve">Upskill agents with personalised learning </t>
  </si>
  <si>
    <t xml:space="preserve">Learning recommendations </t>
  </si>
  <si>
    <t xml:space="preserve">Support meetings in real time </t>
  </si>
  <si>
    <t xml:space="preserve">Real-time coaching </t>
  </si>
  <si>
    <t xml:space="preserve">Calculate commissions accurately and transparently </t>
  </si>
  <si>
    <t>Compensation statements  with forecasts and explanations</t>
  </si>
  <si>
    <t xml:space="preserve">Monitor sales performance live for leaders </t>
  </si>
  <si>
    <t xml:space="preserve">Live performance dashboards </t>
  </si>
  <si>
    <t xml:space="preserve">Recommend leadership actions from performance data </t>
  </si>
  <si>
    <t xml:space="preserve">Coaching and intervention plans </t>
  </si>
  <si>
    <t>Digitise medical information end-to-end (domain goal )</t>
  </si>
  <si>
    <t>AI Portfolio — Master Table (46 initiatives: 7 Health / 18 Operations / 21 Agency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</si>
</sst>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808080"/>
      <name val="Arial"/>
      <charset val="1"/>
    </font>
    <font>
      <b/>
      <sz val="12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1F3864"/>
      <name val="Arial"/>
      <charset val="1"/>
    </font>
    <font>
      <b/>
      <sz val="10"/>
      <color rgb="FF375623"/>
      <name val="Arial"/>
      <charset val="1"/>
    </font>
    <font>
      <sz val="9"/>
      <color rgb="FF808080"/>
      <name val="Arial"/>
      <charset val="1"/>
    </font>
    <font>
      <b/>
      <sz val="9"/>
      <color rgb="FF375623"/>
      <name val="Arial"/>
      <charset val="1"/>
    </font>
    <font>
      <sz val="9"/>
      <color rgb="FFBF8F00"/>
      <name val="Arial"/>
      <charset val="1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99"/>
      </patternFill>
    </fill>
    <fill>
      <patternFill patternType="solid">
        <fgColor rgb="FFE9F2E9"/>
        <bgColor rgb="FFEDF2FA"/>
      </patternFill>
    </fill>
    <fill>
      <patternFill patternType="solid">
        <fgColor rgb="FFEDF2FA"/>
        <bgColor rgb="FFE9F2E9"/>
      </patternFill>
    </fill>
    <fill>
      <patternFill patternType="solid">
        <fgColor rgb="FFFBF3E6"/>
        <bgColor rgb="FFE9F2E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6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6" fillId="0" borderId="1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3E6"/>
      <rgbColor rgb="FFE9F2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A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showGridLines="0" zoomScaleNormal="100" workbookViewId="0">
      <selection activeCell="J10" sqref="J10"/>
    </sheetView>
  </sheetViews>
  <sheetFormatPr defaultColWidth="8.6640625" defaultRowHeight="14.25" x14ac:dyDescent="0.45"/>
  <cols>
    <col min="1" max="1" width="30" customWidth="1"/>
    <col min="2" max="8" width="16" customWidth="1"/>
  </cols>
  <sheetData>
    <row r="1" spans="1:8" ht="20.65" x14ac:dyDescent="0.6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45">
      <c r="A2" s="6"/>
      <c r="B2" s="6"/>
      <c r="C2" s="6"/>
      <c r="D2" s="6"/>
      <c r="E2" s="6"/>
      <c r="F2" s="6"/>
      <c r="G2" s="6"/>
      <c r="H2" s="6"/>
    </row>
    <row r="4" spans="1:8" ht="15.4" x14ac:dyDescent="0.45">
      <c r="A4" s="8" t="s">
        <v>1</v>
      </c>
    </row>
    <row r="5" spans="1:8" ht="15" customHeight="1" x14ac:dyDescent="0.45">
      <c r="A5" s="5" t="s">
        <v>2</v>
      </c>
      <c r="B5" s="5"/>
      <c r="C5" s="5"/>
      <c r="D5" s="5"/>
      <c r="E5" s="5"/>
      <c r="F5" s="5"/>
      <c r="G5" s="5"/>
      <c r="H5" s="5"/>
    </row>
    <row r="6" spans="1:8" x14ac:dyDescent="0.45">
      <c r="A6" s="5"/>
      <c r="B6" s="5"/>
      <c r="C6" s="5"/>
      <c r="D6" s="5"/>
      <c r="E6" s="5"/>
      <c r="F6" s="5"/>
      <c r="G6" s="5"/>
      <c r="H6" s="5"/>
    </row>
    <row r="7" spans="1:8" x14ac:dyDescent="0.45">
      <c r="A7" s="5"/>
      <c r="B7" s="5"/>
      <c r="C7" s="5"/>
      <c r="D7" s="5"/>
      <c r="E7" s="5"/>
      <c r="F7" s="5"/>
      <c r="G7" s="5"/>
      <c r="H7" s="5"/>
    </row>
    <row r="9" spans="1:8" ht="15.4" x14ac:dyDescent="0.45">
      <c r="A9" s="8" t="s">
        <v>3</v>
      </c>
    </row>
    <row r="10" spans="1:8" ht="25.5" customHeight="1" x14ac:dyDescent="0.45">
      <c r="A10" s="9" t="s">
        <v>4</v>
      </c>
      <c r="C10" s="4" t="s">
        <v>5</v>
      </c>
      <c r="D10" s="4"/>
      <c r="E10" s="4"/>
      <c r="F10" s="4"/>
      <c r="G10" s="4"/>
      <c r="H10" s="4"/>
    </row>
    <row r="11" spans="1:8" ht="25.5" customHeight="1" x14ac:dyDescent="0.45">
      <c r="A11" s="9" t="s">
        <v>6</v>
      </c>
      <c r="C11" s="4" t="s">
        <v>7</v>
      </c>
      <c r="D11" s="4"/>
      <c r="E11" s="4"/>
      <c r="F11" s="4"/>
      <c r="G11" s="4"/>
      <c r="H11" s="4"/>
    </row>
    <row r="12" spans="1:8" ht="25.5" customHeight="1" x14ac:dyDescent="0.45">
      <c r="A12" s="9" t="s">
        <v>8</v>
      </c>
      <c r="C12" s="4" t="s">
        <v>9</v>
      </c>
      <c r="D12" s="4"/>
      <c r="E12" s="4"/>
      <c r="F12" s="4"/>
      <c r="G12" s="4"/>
      <c r="H12" s="4"/>
    </row>
    <row r="13" spans="1:8" ht="25.5" customHeight="1" x14ac:dyDescent="0.45">
      <c r="A13" s="9" t="s">
        <v>10</v>
      </c>
      <c r="C13" s="4" t="s">
        <v>11</v>
      </c>
      <c r="D13" s="4"/>
      <c r="E13" s="4"/>
      <c r="F13" s="4"/>
      <c r="G13" s="4"/>
      <c r="H13" s="4"/>
    </row>
    <row r="14" spans="1:8" ht="25.5" customHeight="1" x14ac:dyDescent="0.45">
      <c r="A14" s="9" t="s">
        <v>12</v>
      </c>
      <c r="C14" s="4" t="s">
        <v>13</v>
      </c>
      <c r="D14" s="4"/>
      <c r="E14" s="4"/>
      <c r="F14" s="4"/>
      <c r="G14" s="4"/>
      <c r="H14" s="4"/>
    </row>
    <row r="16" spans="1:8" ht="15.4" x14ac:dyDescent="0.45">
      <c r="A16" s="8" t="s">
        <v>14</v>
      </c>
    </row>
    <row r="17" spans="1:5" x14ac:dyDescent="0.45">
      <c r="A17" s="10"/>
      <c r="B17" s="10" t="s">
        <v>15</v>
      </c>
      <c r="C17" s="10" t="s">
        <v>16</v>
      </c>
      <c r="D17" s="10" t="s">
        <v>17</v>
      </c>
      <c r="E17" s="10" t="s">
        <v>18</v>
      </c>
    </row>
    <row r="18" spans="1:5" x14ac:dyDescent="0.45">
      <c r="A18" s="11" t="s">
        <v>19</v>
      </c>
      <c r="B18" s="12">
        <f>COUNTIF('AI Portfolio'!$B$5:$B$50,"Health")</f>
        <v>7</v>
      </c>
      <c r="C18" s="12">
        <f>COUNTIF('AI Portfolio'!$B$5:$B$50,"Operations")</f>
        <v>18</v>
      </c>
      <c r="D18" s="12">
        <f>COUNTIF('AI Portfolio'!$B$5:$B$50,"Agency")</f>
        <v>21</v>
      </c>
      <c r="E18" s="13">
        <f>SUM(B18:D18)</f>
        <v>46</v>
      </c>
    </row>
    <row r="19" spans="1:5" x14ac:dyDescent="0.45">
      <c r="A19" s="11" t="s">
        <v>20</v>
      </c>
      <c r="B19" s="12">
        <f>COUNTIFS('AI Portfolio'!$B$5:$B$50,"Health",'AI Portfolio'!$O$5:$O$50,"Quick Win")</f>
        <v>0</v>
      </c>
      <c r="C19" s="12">
        <f>COUNTIFS('AI Portfolio'!$B$5:$B$50,"Operations",'AI Portfolio'!$O$5:$O$50,"Quick Win")</f>
        <v>5</v>
      </c>
      <c r="D19" s="12">
        <f>COUNTIFS('AI Portfolio'!$B$5:$B$50,"Agency",'AI Portfolio'!$O$5:$O$50,"Quick Win")</f>
        <v>8</v>
      </c>
      <c r="E19" s="13">
        <f>SUM(B19:D19)</f>
        <v>13</v>
      </c>
    </row>
    <row r="20" spans="1:5" x14ac:dyDescent="0.45">
      <c r="A20" s="11" t="s">
        <v>21</v>
      </c>
      <c r="B20" s="12">
        <f>COUNTIFS('AI Portfolio'!$B$5:$B$50,"Health",'AI Portfolio'!$O$5:$O$50,"Phase 1")</f>
        <v>6</v>
      </c>
      <c r="C20" s="12">
        <f>COUNTIFS('AI Portfolio'!$B$5:$B$50,"Operations",'AI Portfolio'!$O$5:$O$50,"Phase 1")</f>
        <v>7</v>
      </c>
      <c r="D20" s="12">
        <f>COUNTIFS('AI Portfolio'!$B$5:$B$50,"Agency",'AI Portfolio'!$O$5:$O$50,"Phase 1")</f>
        <v>7</v>
      </c>
      <c r="E20" s="13">
        <f>SUM(B20:D20)</f>
        <v>20</v>
      </c>
    </row>
    <row r="21" spans="1:5" x14ac:dyDescent="0.45">
      <c r="A21" s="11" t="s">
        <v>22</v>
      </c>
      <c r="B21" s="12">
        <f>COUNTIFS('AI Portfolio'!$B$5:$B$50,"Health",'AI Portfolio'!$O$5:$O$50,"Phase 2")</f>
        <v>1</v>
      </c>
      <c r="C21" s="12">
        <f>COUNTIFS('AI Portfolio'!$B$5:$B$50,"Operations",'AI Portfolio'!$O$5:$O$50,"Phase 2")</f>
        <v>4</v>
      </c>
      <c r="D21" s="12">
        <f>COUNTIFS('AI Portfolio'!$B$5:$B$50,"Agency",'AI Portfolio'!$O$5:$O$50,"Phase 2")</f>
        <v>4</v>
      </c>
      <c r="E21" s="13">
        <f>SUM(B21:D21)</f>
        <v>9</v>
      </c>
    </row>
    <row r="22" spans="1:5" x14ac:dyDescent="0.45">
      <c r="A22" s="11" t="s">
        <v>23</v>
      </c>
      <c r="B22" s="12">
        <f>COUNTIFS('AI Portfolio'!$B$5:$B$50,"Health",'AI Portfolio'!$O$5:$O$50,"Phase 3")</f>
        <v>0</v>
      </c>
      <c r="C22" s="12">
        <f>COUNTIFS('AI Portfolio'!$B$5:$B$50,"Operations",'AI Portfolio'!$O$5:$O$50,"Phase 3")</f>
        <v>2</v>
      </c>
      <c r="D22" s="12">
        <f>COUNTIFS('AI Portfolio'!$B$5:$B$50,"Agency",'AI Portfolio'!$O$5:$O$50,"Phase 3")</f>
        <v>2</v>
      </c>
      <c r="E22" s="13">
        <f>SUM(B22:D22)</f>
        <v>4</v>
      </c>
    </row>
    <row r="24" spans="1:5" ht="15.4" x14ac:dyDescent="0.45">
      <c r="A24" s="8" t="s">
        <v>24</v>
      </c>
    </row>
    <row r="25" spans="1:5" x14ac:dyDescent="0.45">
      <c r="A25" s="10" t="s">
        <v>25</v>
      </c>
      <c r="B25" s="10" t="s">
        <v>15</v>
      </c>
      <c r="C25" s="10" t="s">
        <v>16</v>
      </c>
      <c r="D25" s="10" t="s">
        <v>17</v>
      </c>
      <c r="E25" s="10" t="s">
        <v>18</v>
      </c>
    </row>
    <row r="26" spans="1:5" x14ac:dyDescent="0.45">
      <c r="A26" s="14" t="s">
        <v>26</v>
      </c>
      <c r="B26" s="12">
        <f>SUMPRODUCT(('AI Portfolio'!$B$5:$B$50="Health")*ISNUMBER(SEARCH("OCR",'AI Portfolio'!$F$5:$F$50&amp;'AI Portfolio'!$G$5:$G$50)))</f>
        <v>1</v>
      </c>
      <c r="C26" s="12">
        <f>SUMPRODUCT(('AI Portfolio'!$B$5:$B$50="Operations")*ISNUMBER(SEARCH("OCR",'AI Portfolio'!$F$5:$F$50&amp;'AI Portfolio'!$G$5:$G$50)))</f>
        <v>2</v>
      </c>
      <c r="D26" s="12">
        <f>SUMPRODUCT(('AI Portfolio'!$B$5:$B$50="Agency")*ISNUMBER(SEARCH("OCR",'AI Portfolio'!$F$5:$F$50&amp;'AI Portfolio'!$G$5:$G$50)))</f>
        <v>0</v>
      </c>
      <c r="E26" s="13">
        <f t="shared" ref="E26:E36" si="0">SUM(B26:D26)</f>
        <v>3</v>
      </c>
    </row>
    <row r="27" spans="1:5" x14ac:dyDescent="0.45">
      <c r="A27" s="14" t="s">
        <v>27</v>
      </c>
      <c r="B27" s="12">
        <f>SUMPRODUCT(('AI Portfolio'!$B$5:$B$50="Health")*ISNUMBER(SEARCH("Vision",'AI Portfolio'!$F$5:$F$50&amp;'AI Portfolio'!$G$5:$G$50)))</f>
        <v>0</v>
      </c>
      <c r="C27" s="12">
        <f>SUMPRODUCT(('AI Portfolio'!$B$5:$B$50="Operations")*ISNUMBER(SEARCH("Vision",'AI Portfolio'!$F$5:$F$50&amp;'AI Portfolio'!$G$5:$G$50)))</f>
        <v>1</v>
      </c>
      <c r="D27" s="12">
        <f>SUMPRODUCT(('AI Portfolio'!$B$5:$B$50="Agency")*ISNUMBER(SEARCH("Vision",'AI Portfolio'!$F$5:$F$50&amp;'AI Portfolio'!$G$5:$G$50)))</f>
        <v>0</v>
      </c>
      <c r="E27" s="13">
        <f t="shared" si="0"/>
        <v>1</v>
      </c>
    </row>
    <row r="28" spans="1:5" x14ac:dyDescent="0.45">
      <c r="A28" s="14" t="s">
        <v>28</v>
      </c>
      <c r="B28" s="12">
        <f>SUMPRODUCT(('AI Portfolio'!$B$5:$B$50="Health")*ISNUMBER(SEARCH("NLP",'AI Portfolio'!$F$5:$F$50&amp;'AI Portfolio'!$G$5:$G$50)))</f>
        <v>1</v>
      </c>
      <c r="C28" s="12">
        <f>SUMPRODUCT(('AI Portfolio'!$B$5:$B$50="Operations")*ISNUMBER(SEARCH("NLP",'AI Portfolio'!$F$5:$F$50&amp;'AI Portfolio'!$G$5:$G$50)))</f>
        <v>3</v>
      </c>
      <c r="D28" s="12">
        <f>SUMPRODUCT(('AI Portfolio'!$B$5:$B$50="Agency")*ISNUMBER(SEARCH("NLP",'AI Portfolio'!$F$5:$F$50&amp;'AI Portfolio'!$G$5:$G$50)))</f>
        <v>1</v>
      </c>
      <c r="E28" s="13">
        <f t="shared" si="0"/>
        <v>5</v>
      </c>
    </row>
    <row r="29" spans="1:5" x14ac:dyDescent="0.45">
      <c r="A29" s="14" t="s">
        <v>29</v>
      </c>
      <c r="B29" s="12">
        <f>SUMPRODUCT(('AI Portfolio'!$B$5:$B$50="Health")*ISNUMBER(SEARCH("LLM",'AI Portfolio'!$F$5:$F$50&amp;'AI Portfolio'!$G$5:$G$50)))</f>
        <v>2</v>
      </c>
      <c r="C29" s="12">
        <f>SUMPRODUCT(('AI Portfolio'!$B$5:$B$50="Operations")*ISNUMBER(SEARCH("LLM",'AI Portfolio'!$F$5:$F$50&amp;'AI Portfolio'!$G$5:$G$50)))</f>
        <v>7</v>
      </c>
      <c r="D29" s="12">
        <f>SUMPRODUCT(('AI Portfolio'!$B$5:$B$50="Agency")*ISNUMBER(SEARCH("LLM",'AI Portfolio'!$F$5:$F$50&amp;'AI Portfolio'!$G$5:$G$50)))</f>
        <v>9</v>
      </c>
      <c r="E29" s="13">
        <f t="shared" si="0"/>
        <v>18</v>
      </c>
    </row>
    <row r="30" spans="1:5" x14ac:dyDescent="0.45">
      <c r="A30" s="14" t="s">
        <v>30</v>
      </c>
      <c r="B30" s="12">
        <f>SUMPRODUCT(('AI Portfolio'!$B$5:$B$50="Health")*ISNUMBER(SEARCH("RAG",'AI Portfolio'!$F$5:$F$50&amp;'AI Portfolio'!$G$5:$G$50)))</f>
        <v>0</v>
      </c>
      <c r="C30" s="12">
        <f>SUMPRODUCT(('AI Portfolio'!$B$5:$B$50="Operations")*ISNUMBER(SEARCH("RAG",'AI Portfolio'!$F$5:$F$50&amp;'AI Portfolio'!$G$5:$G$50)))</f>
        <v>4</v>
      </c>
      <c r="D30" s="12">
        <f>SUMPRODUCT(('AI Portfolio'!$B$5:$B$50="Agency")*ISNUMBER(SEARCH("RAG",'AI Portfolio'!$F$5:$F$50&amp;'AI Portfolio'!$G$5:$G$50)))</f>
        <v>2</v>
      </c>
      <c r="E30" s="13">
        <f t="shared" si="0"/>
        <v>6</v>
      </c>
    </row>
    <row r="31" spans="1:5" x14ac:dyDescent="0.45">
      <c r="A31" s="14" t="s">
        <v>31</v>
      </c>
      <c r="B31" s="12">
        <f>SUMPRODUCT(('AI Portfolio'!$B$5:$B$50="Health")*ISNUMBER(SEARCH("Predictive",'AI Portfolio'!$F$5:$F$50&amp;'AI Portfolio'!$G$5:$G$50)))</f>
        <v>1</v>
      </c>
      <c r="C31" s="12">
        <f>SUMPRODUCT(('AI Portfolio'!$B$5:$B$50="Operations")*ISNUMBER(SEARCH("Predictive",'AI Portfolio'!$F$5:$F$50&amp;'AI Portfolio'!$G$5:$G$50)))</f>
        <v>8</v>
      </c>
      <c r="D31" s="12">
        <f>SUMPRODUCT(('AI Portfolio'!$B$5:$B$50="Agency")*ISNUMBER(SEARCH("Predictive",'AI Portfolio'!$F$5:$F$50&amp;'AI Portfolio'!$G$5:$G$50)))</f>
        <v>8</v>
      </c>
      <c r="E31" s="13">
        <f t="shared" si="0"/>
        <v>17</v>
      </c>
    </row>
    <row r="32" spans="1:5" x14ac:dyDescent="0.45">
      <c r="A32" s="14" t="s">
        <v>32</v>
      </c>
      <c r="B32" s="12">
        <f>SUMPRODUCT(('AI Portfolio'!$B$5:$B$50="Health")*ISNUMBER(SEARCH("Recommendation",'AI Portfolio'!$F$5:$F$50&amp;'AI Portfolio'!$G$5:$G$50)))</f>
        <v>1</v>
      </c>
      <c r="C32" s="12">
        <f>SUMPRODUCT(('AI Portfolio'!$B$5:$B$50="Operations")*ISNUMBER(SEARCH("Recommendation",'AI Portfolio'!$F$5:$F$50&amp;'AI Portfolio'!$G$5:$G$50)))</f>
        <v>1</v>
      </c>
      <c r="D32" s="12">
        <f>SUMPRODUCT(('AI Portfolio'!$B$5:$B$50="Agency")*ISNUMBER(SEARCH("Recommendation",'AI Portfolio'!$F$5:$F$50&amp;'AI Portfolio'!$G$5:$G$50)))</f>
        <v>7</v>
      </c>
      <c r="E32" s="13">
        <f t="shared" si="0"/>
        <v>9</v>
      </c>
    </row>
    <row r="33" spans="1:8" x14ac:dyDescent="0.45">
      <c r="A33" s="14" t="s">
        <v>33</v>
      </c>
      <c r="B33" s="12">
        <f>SUMPRODUCT(('AI Portfolio'!$B$5:$B$50="Health")*ISNUMBER(SEARCH("Graph",'AI Portfolio'!$F$5:$F$50&amp;'AI Portfolio'!$G$5:$G$50)))</f>
        <v>1</v>
      </c>
      <c r="C33" s="12">
        <f>SUMPRODUCT(('AI Portfolio'!$B$5:$B$50="Operations")*ISNUMBER(SEARCH("Graph",'AI Portfolio'!$F$5:$F$50&amp;'AI Portfolio'!$G$5:$G$50)))</f>
        <v>0</v>
      </c>
      <c r="D33" s="12">
        <f>SUMPRODUCT(('AI Portfolio'!$B$5:$B$50="Agency")*ISNUMBER(SEARCH("Graph",'AI Portfolio'!$F$5:$F$50&amp;'AI Portfolio'!$G$5:$G$50)))</f>
        <v>0</v>
      </c>
      <c r="E33" s="13">
        <f t="shared" si="0"/>
        <v>1</v>
      </c>
    </row>
    <row r="34" spans="1:8" x14ac:dyDescent="0.45">
      <c r="A34" s="14" t="s">
        <v>34</v>
      </c>
      <c r="B34" s="12">
        <f>SUMPRODUCT(('AI Portfolio'!$B$5:$B$50="Health")*ISNUMBER(SEARCH("Forecast",'AI Portfolio'!$F$5:$F$50&amp;'AI Portfolio'!$G$5:$G$50)))</f>
        <v>0</v>
      </c>
      <c r="C34" s="12">
        <f>SUMPRODUCT(('AI Portfolio'!$B$5:$B$50="Operations")*ISNUMBER(SEARCH("Forecast",'AI Portfolio'!$F$5:$F$50&amp;'AI Portfolio'!$G$5:$G$50)))</f>
        <v>0</v>
      </c>
      <c r="D34" s="12">
        <f>SUMPRODUCT(('AI Portfolio'!$B$5:$B$50="Agency")*ISNUMBER(SEARCH("Forecast",'AI Portfolio'!$F$5:$F$50&amp;'AI Portfolio'!$G$5:$G$50)))</f>
        <v>1</v>
      </c>
      <c r="E34" s="13">
        <f t="shared" si="0"/>
        <v>1</v>
      </c>
    </row>
    <row r="35" spans="1:8" x14ac:dyDescent="0.45">
      <c r="A35" s="14" t="s">
        <v>35</v>
      </c>
      <c r="B35" s="12">
        <f>SUMPRODUCT(('AI Portfolio'!$B$5:$B$50="Health")*ISNUMBER(SEARCH("Optimization",'AI Portfolio'!$F$5:$F$50&amp;'AI Portfolio'!$G$5:$G$50)))</f>
        <v>0</v>
      </c>
      <c r="C35" s="12">
        <f>SUMPRODUCT(('AI Portfolio'!$B$5:$B$50="Operations")*ISNUMBER(SEARCH("Optimization",'AI Portfolio'!$F$5:$F$50&amp;'AI Portfolio'!$G$5:$G$50)))</f>
        <v>2</v>
      </c>
      <c r="D35" s="12">
        <f>SUMPRODUCT(('AI Portfolio'!$B$5:$B$50="Agency")*ISNUMBER(SEARCH("Optimization",'AI Portfolio'!$F$5:$F$50&amp;'AI Portfolio'!$G$5:$G$50)))</f>
        <v>2</v>
      </c>
      <c r="E35" s="13">
        <f t="shared" si="0"/>
        <v>4</v>
      </c>
    </row>
    <row r="36" spans="1:8" x14ac:dyDescent="0.45">
      <c r="A36" s="14" t="s">
        <v>36</v>
      </c>
      <c r="B36" s="12">
        <f>SUMPRODUCT(('AI Portfolio'!$B$5:$B$50="Health")*ISNUMBER(SEARCH("Agentic",'AI Portfolio'!$F$5:$F$50&amp;'AI Portfolio'!$G$5:$G$50)))</f>
        <v>0</v>
      </c>
      <c r="C36" s="12">
        <f>SUMPRODUCT(('AI Portfolio'!$B$5:$B$50="Operations")*ISNUMBER(SEARCH("Agentic",'AI Portfolio'!$F$5:$F$50&amp;'AI Portfolio'!$G$5:$G$50)))</f>
        <v>1</v>
      </c>
      <c r="D36" s="12">
        <f>SUMPRODUCT(('AI Portfolio'!$B$5:$B$50="Agency")*ISNUMBER(SEARCH("Agentic",'AI Portfolio'!$F$5:$F$50&amp;'AI Portfolio'!$G$5:$G$50)))</f>
        <v>0</v>
      </c>
      <c r="E36" s="13">
        <f t="shared" si="0"/>
        <v>1</v>
      </c>
    </row>
    <row r="38" spans="1:8" ht="15.4" x14ac:dyDescent="0.45">
      <c r="A38" s="8" t="s">
        <v>37</v>
      </c>
    </row>
    <row r="39" spans="1:8" ht="15" customHeight="1" x14ac:dyDescent="0.45">
      <c r="A39" s="10" t="s">
        <v>38</v>
      </c>
      <c r="B39" s="3" t="s">
        <v>39</v>
      </c>
      <c r="C39" s="3"/>
      <c r="D39" s="3"/>
      <c r="E39" s="3"/>
      <c r="F39" s="3"/>
      <c r="G39" s="3"/>
      <c r="H39" s="3"/>
    </row>
    <row r="40" spans="1:8" ht="15" customHeight="1" x14ac:dyDescent="0.45">
      <c r="A40" s="11" t="s">
        <v>40</v>
      </c>
      <c r="B40" s="2" t="s">
        <v>41</v>
      </c>
      <c r="C40" s="2"/>
      <c r="D40" s="2"/>
      <c r="E40" s="2"/>
      <c r="F40" s="2"/>
      <c r="G40" s="2"/>
      <c r="H40" s="2"/>
    </row>
    <row r="41" spans="1:8" ht="15" customHeight="1" x14ac:dyDescent="0.45">
      <c r="A41" s="11" t="s">
        <v>42</v>
      </c>
      <c r="B41" s="2" t="s">
        <v>43</v>
      </c>
      <c r="C41" s="2"/>
      <c r="D41" s="2"/>
      <c r="E41" s="2"/>
      <c r="F41" s="2"/>
      <c r="G41" s="2"/>
      <c r="H41" s="2"/>
    </row>
    <row r="42" spans="1:8" ht="15" customHeight="1" x14ac:dyDescent="0.45">
      <c r="A42" s="11" t="s">
        <v>28</v>
      </c>
      <c r="B42" s="2" t="s">
        <v>44</v>
      </c>
      <c r="C42" s="2"/>
      <c r="D42" s="2"/>
      <c r="E42" s="2"/>
      <c r="F42" s="2"/>
      <c r="G42" s="2"/>
      <c r="H42" s="2"/>
    </row>
    <row r="43" spans="1:8" ht="15" customHeight="1" x14ac:dyDescent="0.45">
      <c r="A43" s="11" t="s">
        <v>45</v>
      </c>
      <c r="B43" s="2" t="s">
        <v>46</v>
      </c>
      <c r="C43" s="2"/>
      <c r="D43" s="2"/>
      <c r="E43" s="2"/>
      <c r="F43" s="2"/>
      <c r="G43" s="2"/>
      <c r="H43" s="2"/>
    </row>
    <row r="44" spans="1:8" ht="15" customHeight="1" x14ac:dyDescent="0.45">
      <c r="A44" s="11" t="s">
        <v>30</v>
      </c>
      <c r="B44" s="2" t="s">
        <v>47</v>
      </c>
      <c r="C44" s="2"/>
      <c r="D44" s="2"/>
      <c r="E44" s="2"/>
      <c r="F44" s="2"/>
      <c r="G44" s="2"/>
      <c r="H44" s="2"/>
    </row>
    <row r="45" spans="1:8" ht="15" customHeight="1" x14ac:dyDescent="0.45">
      <c r="A45" s="11" t="s">
        <v>48</v>
      </c>
      <c r="B45" s="2" t="s">
        <v>49</v>
      </c>
      <c r="C45" s="2"/>
      <c r="D45" s="2"/>
      <c r="E45" s="2"/>
      <c r="F45" s="2"/>
      <c r="G45" s="2"/>
      <c r="H45" s="2"/>
    </row>
    <row r="46" spans="1:8" ht="15" customHeight="1" x14ac:dyDescent="0.45">
      <c r="A46" s="11" t="s">
        <v>50</v>
      </c>
      <c r="B46" s="2" t="s">
        <v>51</v>
      </c>
      <c r="C46" s="2"/>
      <c r="D46" s="2"/>
      <c r="E46" s="2"/>
      <c r="F46" s="2"/>
      <c r="G46" s="2"/>
      <c r="H46" s="2"/>
    </row>
    <row r="47" spans="1:8" ht="15" customHeight="1" x14ac:dyDescent="0.45">
      <c r="A47" s="11" t="s">
        <v>52</v>
      </c>
      <c r="B47" s="2" t="s">
        <v>53</v>
      </c>
      <c r="C47" s="2"/>
      <c r="D47" s="2"/>
      <c r="E47" s="2"/>
      <c r="F47" s="2"/>
      <c r="G47" s="2"/>
      <c r="H47" s="2"/>
    </row>
    <row r="48" spans="1:8" ht="15" customHeight="1" x14ac:dyDescent="0.45">
      <c r="A48" s="11" t="s">
        <v>54</v>
      </c>
      <c r="B48" s="2" t="s">
        <v>55</v>
      </c>
      <c r="C48" s="2"/>
      <c r="D48" s="2"/>
      <c r="E48" s="2"/>
      <c r="F48" s="2"/>
      <c r="G48" s="2"/>
      <c r="H48" s="2"/>
    </row>
    <row r="49" spans="1:8" ht="15" customHeight="1" x14ac:dyDescent="0.45">
      <c r="A49" s="11" t="s">
        <v>35</v>
      </c>
      <c r="B49" s="2" t="s">
        <v>56</v>
      </c>
      <c r="C49" s="2"/>
      <c r="D49" s="2"/>
      <c r="E49" s="2"/>
      <c r="F49" s="2"/>
      <c r="G49" s="2"/>
      <c r="H49" s="2"/>
    </row>
    <row r="50" spans="1:8" ht="15" customHeight="1" x14ac:dyDescent="0.45">
      <c r="A50" s="11" t="s">
        <v>57</v>
      </c>
      <c r="B50" s="2" t="s">
        <v>58</v>
      </c>
      <c r="C50" s="2"/>
      <c r="D50" s="2"/>
      <c r="E50" s="2"/>
      <c r="F50" s="2"/>
      <c r="G50" s="2"/>
      <c r="H50" s="2"/>
    </row>
  </sheetData>
  <mergeCells count="20">
    <mergeCell ref="B46:H46"/>
    <mergeCell ref="B47:H47"/>
    <mergeCell ref="B48:H48"/>
    <mergeCell ref="B49:H49"/>
    <mergeCell ref="B50:H50"/>
    <mergeCell ref="B41:H41"/>
    <mergeCell ref="B42:H42"/>
    <mergeCell ref="B43:H43"/>
    <mergeCell ref="B44:H44"/>
    <mergeCell ref="B45:H45"/>
    <mergeCell ref="C12:H12"/>
    <mergeCell ref="C13:H13"/>
    <mergeCell ref="C14:H14"/>
    <mergeCell ref="B39:H39"/>
    <mergeCell ref="B40:H40"/>
    <mergeCell ref="A1:H1"/>
    <mergeCell ref="A2:H2"/>
    <mergeCell ref="A5:H7"/>
    <mergeCell ref="C10:H10"/>
    <mergeCell ref="C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8" sqref="E8"/>
    </sheetView>
  </sheetViews>
  <sheetFormatPr defaultColWidth="8.6640625" defaultRowHeight="14.25" x14ac:dyDescent="0.45"/>
  <cols>
    <col min="1" max="1" width="6" customWidth="1"/>
    <col min="2" max="2" width="11" customWidth="1"/>
    <col min="3" max="4" width="26" customWidth="1"/>
    <col min="5" max="5" width="30" customWidth="1"/>
    <col min="6" max="6" width="22" customWidth="1"/>
    <col min="7" max="7" width="30" customWidth="1"/>
    <col min="8" max="8" width="32" customWidth="1"/>
    <col min="9" max="9" width="26" customWidth="1"/>
    <col min="10" max="10" width="28" customWidth="1"/>
    <col min="11" max="11" width="22" customWidth="1"/>
    <col min="12" max="12" width="26" customWidth="1"/>
    <col min="13" max="13" width="28" customWidth="1"/>
    <col min="14" max="14" width="13" customWidth="1"/>
    <col min="15" max="15" width="10" customWidth="1"/>
    <col min="16" max="16" width="18" customWidth="1"/>
    <col min="17" max="17" width="9" customWidth="1"/>
    <col min="18" max="18" width="10" customWidth="1"/>
  </cols>
  <sheetData>
    <row r="1" spans="1:18" ht="20.65" x14ac:dyDescent="0.6">
      <c r="A1" s="7" t="s">
        <v>920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ht="39.4" x14ac:dyDescent="0.45">
      <c r="A4" s="15" t="s">
        <v>59</v>
      </c>
      <c r="B4" s="15" t="s">
        <v>60</v>
      </c>
      <c r="C4" s="15" t="s">
        <v>61</v>
      </c>
      <c r="D4" s="15" t="s">
        <v>62</v>
      </c>
      <c r="E4" s="15" t="s">
        <v>63</v>
      </c>
      <c r="F4" s="15" t="s">
        <v>25</v>
      </c>
      <c r="G4" s="15" t="s">
        <v>64</v>
      </c>
      <c r="H4" s="15" t="s">
        <v>65</v>
      </c>
      <c r="I4" s="15" t="s">
        <v>66</v>
      </c>
      <c r="J4" s="15" t="s">
        <v>67</v>
      </c>
      <c r="K4" s="15" t="s">
        <v>68</v>
      </c>
      <c r="L4" s="15" t="s">
        <v>69</v>
      </c>
      <c r="M4" s="15" t="s">
        <v>70</v>
      </c>
      <c r="N4" s="15" t="s">
        <v>71</v>
      </c>
      <c r="O4" s="15" t="s">
        <v>72</v>
      </c>
      <c r="P4" s="15" t="s">
        <v>73</v>
      </c>
      <c r="Q4" s="15" t="s">
        <v>74</v>
      </c>
      <c r="R4" s="15" t="s">
        <v>75</v>
      </c>
    </row>
    <row r="5" spans="1:18" ht="34.9" x14ac:dyDescent="0.45">
      <c r="A5" s="16" t="s">
        <v>76</v>
      </c>
      <c r="B5" s="17" t="s">
        <v>15</v>
      </c>
      <c r="C5" s="18" t="s">
        <v>77</v>
      </c>
      <c r="D5" s="18" t="s">
        <v>919</v>
      </c>
      <c r="E5" s="18" t="s">
        <v>831</v>
      </c>
      <c r="F5" s="18" t="s">
        <v>79</v>
      </c>
      <c r="G5" s="18" t="s">
        <v>80</v>
      </c>
      <c r="H5" s="18" t="s">
        <v>81</v>
      </c>
      <c r="I5" s="18" t="s">
        <v>82</v>
      </c>
      <c r="J5" s="18" t="s">
        <v>832</v>
      </c>
      <c r="K5" s="18" t="s">
        <v>83</v>
      </c>
      <c r="L5" s="18" t="s">
        <v>84</v>
      </c>
      <c r="M5" s="18" t="s">
        <v>85</v>
      </c>
      <c r="N5" s="16" t="s">
        <v>86</v>
      </c>
      <c r="O5" s="16" t="s">
        <v>21</v>
      </c>
      <c r="P5" s="18" t="s">
        <v>87</v>
      </c>
      <c r="Q5" s="16">
        <v>5</v>
      </c>
      <c r="R5" s="16">
        <v>3</v>
      </c>
    </row>
    <row r="6" spans="1:18" ht="34.9" x14ac:dyDescent="0.45">
      <c r="A6" s="16" t="s">
        <v>88</v>
      </c>
      <c r="B6" s="17" t="s">
        <v>15</v>
      </c>
      <c r="C6" s="18" t="s">
        <v>89</v>
      </c>
      <c r="D6" s="18" t="s">
        <v>90</v>
      </c>
      <c r="E6" s="18" t="s">
        <v>833</v>
      </c>
      <c r="F6" s="18" t="s">
        <v>834</v>
      </c>
      <c r="G6" s="18" t="s">
        <v>91</v>
      </c>
      <c r="H6" s="18" t="s">
        <v>92</v>
      </c>
      <c r="I6" s="18" t="s">
        <v>93</v>
      </c>
      <c r="J6" s="18" t="s">
        <v>835</v>
      </c>
      <c r="K6" s="18" t="s">
        <v>94</v>
      </c>
      <c r="L6" s="18" t="s">
        <v>95</v>
      </c>
      <c r="M6" s="18" t="s">
        <v>96</v>
      </c>
      <c r="N6" s="16" t="s">
        <v>97</v>
      </c>
      <c r="O6" s="16" t="s">
        <v>21</v>
      </c>
      <c r="P6" s="18" t="s">
        <v>98</v>
      </c>
      <c r="Q6" s="16">
        <v>5</v>
      </c>
      <c r="R6" s="16">
        <v>4</v>
      </c>
    </row>
    <row r="7" spans="1:18" ht="34.9" x14ac:dyDescent="0.45">
      <c r="A7" s="16" t="s">
        <v>99</v>
      </c>
      <c r="B7" s="17" t="s">
        <v>15</v>
      </c>
      <c r="C7" s="18" t="s">
        <v>100</v>
      </c>
      <c r="D7" s="18" t="s">
        <v>101</v>
      </c>
      <c r="E7" s="18" t="s">
        <v>836</v>
      </c>
      <c r="F7" s="18" t="s">
        <v>102</v>
      </c>
      <c r="G7" s="18" t="s">
        <v>103</v>
      </c>
      <c r="H7" s="18" t="s">
        <v>104</v>
      </c>
      <c r="I7" s="18" t="s">
        <v>105</v>
      </c>
      <c r="J7" s="18" t="s">
        <v>837</v>
      </c>
      <c r="K7" s="18" t="s">
        <v>106</v>
      </c>
      <c r="L7" s="18" t="s">
        <v>107</v>
      </c>
      <c r="M7" s="18" t="s">
        <v>108</v>
      </c>
      <c r="N7" s="16" t="s">
        <v>86</v>
      </c>
      <c r="O7" s="16" t="s">
        <v>21</v>
      </c>
      <c r="P7" s="18" t="s">
        <v>97</v>
      </c>
      <c r="Q7" s="16">
        <v>4</v>
      </c>
      <c r="R7" s="16">
        <v>3</v>
      </c>
    </row>
    <row r="8" spans="1:18" ht="34.9" x14ac:dyDescent="0.45">
      <c r="A8" s="16" t="s">
        <v>109</v>
      </c>
      <c r="B8" s="17" t="s">
        <v>15</v>
      </c>
      <c r="C8" s="18" t="s">
        <v>110</v>
      </c>
      <c r="D8" s="18" t="s">
        <v>111</v>
      </c>
      <c r="E8" s="18" t="s">
        <v>838</v>
      </c>
      <c r="F8" s="18" t="s">
        <v>839</v>
      </c>
      <c r="G8" s="18" t="s">
        <v>112</v>
      </c>
      <c r="H8" s="18" t="s">
        <v>113</v>
      </c>
      <c r="I8" s="18" t="s">
        <v>114</v>
      </c>
      <c r="J8" s="18" t="s">
        <v>840</v>
      </c>
      <c r="K8" s="18" t="s">
        <v>115</v>
      </c>
      <c r="L8" s="18" t="s">
        <v>116</v>
      </c>
      <c r="M8" s="18" t="s">
        <v>117</v>
      </c>
      <c r="N8" s="16" t="s">
        <v>98</v>
      </c>
      <c r="O8" s="16" t="s">
        <v>21</v>
      </c>
      <c r="P8" s="18" t="s">
        <v>97</v>
      </c>
      <c r="Q8" s="16">
        <v>5</v>
      </c>
      <c r="R8" s="16">
        <v>4</v>
      </c>
    </row>
    <row r="9" spans="1:18" ht="34.9" x14ac:dyDescent="0.45">
      <c r="A9" s="16" t="s">
        <v>118</v>
      </c>
      <c r="B9" s="17" t="s">
        <v>15</v>
      </c>
      <c r="C9" s="18" t="s">
        <v>119</v>
      </c>
      <c r="D9" s="18" t="s">
        <v>120</v>
      </c>
      <c r="E9" s="18" t="s">
        <v>841</v>
      </c>
      <c r="F9" s="18" t="s">
        <v>842</v>
      </c>
      <c r="G9" s="18" t="s">
        <v>121</v>
      </c>
      <c r="H9" s="18" t="s">
        <v>122</v>
      </c>
      <c r="I9" s="18" t="s">
        <v>123</v>
      </c>
      <c r="J9" s="18" t="s">
        <v>843</v>
      </c>
      <c r="K9" s="18" t="s">
        <v>124</v>
      </c>
      <c r="L9" s="18" t="s">
        <v>125</v>
      </c>
      <c r="M9" s="18" t="s">
        <v>126</v>
      </c>
      <c r="N9" s="16" t="s">
        <v>86</v>
      </c>
      <c r="O9" s="16" t="s">
        <v>21</v>
      </c>
      <c r="P9" s="18" t="s">
        <v>98</v>
      </c>
      <c r="Q9" s="16">
        <v>4</v>
      </c>
      <c r="R9" s="16">
        <v>3</v>
      </c>
    </row>
    <row r="10" spans="1:18" ht="34.9" x14ac:dyDescent="0.45">
      <c r="A10" s="16" t="s">
        <v>127</v>
      </c>
      <c r="B10" s="17" t="s">
        <v>15</v>
      </c>
      <c r="C10" s="18" t="s">
        <v>128</v>
      </c>
      <c r="D10" s="18" t="s">
        <v>844</v>
      </c>
      <c r="E10" s="18" t="s">
        <v>845</v>
      </c>
      <c r="F10" s="18" t="s">
        <v>129</v>
      </c>
      <c r="G10" s="18" t="s">
        <v>130</v>
      </c>
      <c r="H10" s="18" t="s">
        <v>131</v>
      </c>
      <c r="I10" s="18" t="s">
        <v>132</v>
      </c>
      <c r="J10" s="18" t="s">
        <v>846</v>
      </c>
      <c r="K10" s="18" t="s">
        <v>133</v>
      </c>
      <c r="L10" s="18" t="s">
        <v>134</v>
      </c>
      <c r="M10" s="18" t="s">
        <v>135</v>
      </c>
      <c r="N10" s="16" t="s">
        <v>86</v>
      </c>
      <c r="O10" s="16" t="s">
        <v>21</v>
      </c>
      <c r="P10" s="18" t="s">
        <v>136</v>
      </c>
      <c r="Q10" s="16">
        <v>3</v>
      </c>
      <c r="R10" s="16">
        <v>3</v>
      </c>
    </row>
    <row r="11" spans="1:18" ht="34.9" x14ac:dyDescent="0.45">
      <c r="A11" s="16" t="s">
        <v>137</v>
      </c>
      <c r="B11" s="17" t="s">
        <v>15</v>
      </c>
      <c r="C11" s="18" t="s">
        <v>138</v>
      </c>
      <c r="D11" s="18" t="s">
        <v>847</v>
      </c>
      <c r="E11" s="18" t="s">
        <v>848</v>
      </c>
      <c r="F11" s="18" t="s">
        <v>139</v>
      </c>
      <c r="G11" s="18" t="s">
        <v>140</v>
      </c>
      <c r="H11" s="18" t="s">
        <v>849</v>
      </c>
      <c r="I11" s="18" t="s">
        <v>141</v>
      </c>
      <c r="J11" s="18" t="s">
        <v>850</v>
      </c>
      <c r="K11" s="18" t="s">
        <v>142</v>
      </c>
      <c r="L11" s="18" t="s">
        <v>143</v>
      </c>
      <c r="M11" s="18" t="s">
        <v>144</v>
      </c>
      <c r="N11" s="16" t="s">
        <v>98</v>
      </c>
      <c r="O11" s="16" t="s">
        <v>22</v>
      </c>
      <c r="P11" s="18" t="s">
        <v>136</v>
      </c>
      <c r="Q11" s="16">
        <v>3</v>
      </c>
      <c r="R11" s="16">
        <v>4</v>
      </c>
    </row>
    <row r="12" spans="1:18" ht="34.9" x14ac:dyDescent="0.45">
      <c r="A12" s="16" t="s">
        <v>145</v>
      </c>
      <c r="B12" s="19" t="s">
        <v>16</v>
      </c>
      <c r="C12" s="18" t="s">
        <v>146</v>
      </c>
      <c r="D12" s="18" t="s">
        <v>851</v>
      </c>
      <c r="E12" s="18" t="s">
        <v>147</v>
      </c>
      <c r="F12" s="18" t="s">
        <v>148</v>
      </c>
      <c r="G12" s="18" t="s">
        <v>149</v>
      </c>
      <c r="H12" s="18" t="s">
        <v>150</v>
      </c>
      <c r="I12" s="18" t="s">
        <v>151</v>
      </c>
      <c r="J12" s="18" t="s">
        <v>852</v>
      </c>
      <c r="K12" s="18" t="s">
        <v>152</v>
      </c>
      <c r="L12" s="18" t="s">
        <v>153</v>
      </c>
      <c r="M12" s="18" t="s">
        <v>154</v>
      </c>
      <c r="N12" s="16" t="s">
        <v>155</v>
      </c>
      <c r="O12" s="16" t="s">
        <v>156</v>
      </c>
      <c r="P12" s="18" t="s">
        <v>97</v>
      </c>
      <c r="Q12" s="16">
        <v>4</v>
      </c>
      <c r="R12" s="16">
        <v>2</v>
      </c>
    </row>
    <row r="13" spans="1:18" ht="34.9" x14ac:dyDescent="0.45">
      <c r="A13" s="16" t="s">
        <v>157</v>
      </c>
      <c r="B13" s="19" t="s">
        <v>16</v>
      </c>
      <c r="C13" s="18" t="s">
        <v>158</v>
      </c>
      <c r="D13" s="18" t="s">
        <v>853</v>
      </c>
      <c r="E13" s="18" t="s">
        <v>159</v>
      </c>
      <c r="F13" s="18" t="s">
        <v>160</v>
      </c>
      <c r="G13" s="18" t="s">
        <v>161</v>
      </c>
      <c r="H13" s="18" t="s">
        <v>162</v>
      </c>
      <c r="I13" s="18" t="s">
        <v>163</v>
      </c>
      <c r="J13" s="18" t="s">
        <v>854</v>
      </c>
      <c r="K13" s="18" t="s">
        <v>164</v>
      </c>
      <c r="L13" s="18" t="s">
        <v>165</v>
      </c>
      <c r="M13" s="18" t="s">
        <v>166</v>
      </c>
      <c r="N13" s="16" t="s">
        <v>86</v>
      </c>
      <c r="O13" s="16" t="s">
        <v>156</v>
      </c>
      <c r="P13" s="18" t="s">
        <v>97</v>
      </c>
      <c r="Q13" s="16">
        <v>4</v>
      </c>
      <c r="R13" s="16">
        <v>3</v>
      </c>
    </row>
    <row r="14" spans="1:18" ht="34.9" x14ac:dyDescent="0.45">
      <c r="A14" s="16" t="s">
        <v>167</v>
      </c>
      <c r="B14" s="19" t="s">
        <v>16</v>
      </c>
      <c r="C14" s="18" t="s">
        <v>168</v>
      </c>
      <c r="D14" s="18" t="s">
        <v>855</v>
      </c>
      <c r="E14" s="18" t="s">
        <v>169</v>
      </c>
      <c r="F14" s="18" t="s">
        <v>170</v>
      </c>
      <c r="G14" s="18" t="s">
        <v>171</v>
      </c>
      <c r="H14" s="18" t="s">
        <v>172</v>
      </c>
      <c r="I14" s="18" t="s">
        <v>173</v>
      </c>
      <c r="J14" s="18" t="s">
        <v>856</v>
      </c>
      <c r="K14" s="18" t="s">
        <v>174</v>
      </c>
      <c r="L14" s="18" t="s">
        <v>175</v>
      </c>
      <c r="M14" s="18" t="s">
        <v>176</v>
      </c>
      <c r="N14" s="16" t="s">
        <v>177</v>
      </c>
      <c r="O14" s="16" t="s">
        <v>156</v>
      </c>
      <c r="P14" s="18" t="s">
        <v>97</v>
      </c>
      <c r="Q14" s="16">
        <v>3</v>
      </c>
      <c r="R14" s="16">
        <v>2</v>
      </c>
    </row>
    <row r="15" spans="1:18" ht="34.9" x14ac:dyDescent="0.45">
      <c r="A15" s="16" t="s">
        <v>178</v>
      </c>
      <c r="B15" s="19" t="s">
        <v>16</v>
      </c>
      <c r="C15" s="18" t="s">
        <v>179</v>
      </c>
      <c r="D15" s="18" t="s">
        <v>857</v>
      </c>
      <c r="E15" s="18" t="s">
        <v>180</v>
      </c>
      <c r="F15" s="18" t="s">
        <v>181</v>
      </c>
      <c r="G15" s="18" t="s">
        <v>182</v>
      </c>
      <c r="H15" s="18" t="s">
        <v>183</v>
      </c>
      <c r="I15" s="18" t="s">
        <v>184</v>
      </c>
      <c r="J15" s="18" t="s">
        <v>858</v>
      </c>
      <c r="K15" s="18" t="s">
        <v>185</v>
      </c>
      <c r="L15" s="18" t="s">
        <v>186</v>
      </c>
      <c r="M15" s="18" t="s">
        <v>187</v>
      </c>
      <c r="N15" s="16" t="s">
        <v>155</v>
      </c>
      <c r="O15" s="16" t="s">
        <v>156</v>
      </c>
      <c r="P15" s="18" t="s">
        <v>86</v>
      </c>
      <c r="Q15" s="16">
        <v>3</v>
      </c>
      <c r="R15" s="16">
        <v>2</v>
      </c>
    </row>
    <row r="16" spans="1:18" ht="46.5" x14ac:dyDescent="0.45">
      <c r="A16" s="16" t="s">
        <v>188</v>
      </c>
      <c r="B16" s="19" t="s">
        <v>16</v>
      </c>
      <c r="C16" s="18" t="s">
        <v>189</v>
      </c>
      <c r="D16" s="18" t="s">
        <v>859</v>
      </c>
      <c r="E16" s="18" t="s">
        <v>190</v>
      </c>
      <c r="F16" s="18" t="s">
        <v>191</v>
      </c>
      <c r="G16" s="18" t="s">
        <v>192</v>
      </c>
      <c r="H16" s="18" t="s">
        <v>193</v>
      </c>
      <c r="I16" s="18" t="s">
        <v>194</v>
      </c>
      <c r="J16" s="18" t="s">
        <v>860</v>
      </c>
      <c r="K16" s="18" t="s">
        <v>195</v>
      </c>
      <c r="L16" s="18" t="s">
        <v>196</v>
      </c>
      <c r="M16" s="18" t="s">
        <v>197</v>
      </c>
      <c r="N16" s="16" t="s">
        <v>97</v>
      </c>
      <c r="O16" s="16" t="s">
        <v>21</v>
      </c>
      <c r="P16" s="18" t="s">
        <v>97</v>
      </c>
      <c r="Q16" s="16">
        <v>5</v>
      </c>
      <c r="R16" s="16">
        <v>4</v>
      </c>
    </row>
    <row r="17" spans="1:18" ht="34.9" x14ac:dyDescent="0.45">
      <c r="A17" s="16" t="s">
        <v>198</v>
      </c>
      <c r="B17" s="19" t="s">
        <v>16</v>
      </c>
      <c r="C17" s="18" t="s">
        <v>199</v>
      </c>
      <c r="D17" s="18" t="s">
        <v>861</v>
      </c>
      <c r="E17" s="18" t="s">
        <v>200</v>
      </c>
      <c r="F17" s="18" t="s">
        <v>201</v>
      </c>
      <c r="G17" s="18" t="s">
        <v>202</v>
      </c>
      <c r="H17" s="18" t="s">
        <v>203</v>
      </c>
      <c r="I17" s="18" t="s">
        <v>204</v>
      </c>
      <c r="J17" s="18" t="s">
        <v>862</v>
      </c>
      <c r="K17" s="18" t="s">
        <v>205</v>
      </c>
      <c r="L17" s="18" t="s">
        <v>206</v>
      </c>
      <c r="M17" s="18" t="s">
        <v>207</v>
      </c>
      <c r="N17" s="16" t="s">
        <v>86</v>
      </c>
      <c r="O17" s="16" t="s">
        <v>21</v>
      </c>
      <c r="P17" s="18" t="s">
        <v>97</v>
      </c>
      <c r="Q17" s="16">
        <v>4</v>
      </c>
      <c r="R17" s="16">
        <v>3</v>
      </c>
    </row>
    <row r="18" spans="1:18" ht="34.9" x14ac:dyDescent="0.45">
      <c r="A18" s="16" t="s">
        <v>208</v>
      </c>
      <c r="B18" s="19" t="s">
        <v>16</v>
      </c>
      <c r="C18" s="18" t="s">
        <v>209</v>
      </c>
      <c r="D18" s="18" t="s">
        <v>210</v>
      </c>
      <c r="E18" s="18" t="s">
        <v>211</v>
      </c>
      <c r="F18" s="18" t="s">
        <v>212</v>
      </c>
      <c r="G18" s="18" t="s">
        <v>213</v>
      </c>
      <c r="H18" s="18" t="s">
        <v>214</v>
      </c>
      <c r="I18" s="18" t="s">
        <v>215</v>
      </c>
      <c r="J18" s="18" t="s">
        <v>216</v>
      </c>
      <c r="K18" s="18" t="s">
        <v>217</v>
      </c>
      <c r="L18" s="18" t="s">
        <v>218</v>
      </c>
      <c r="M18" s="18" t="s">
        <v>219</v>
      </c>
      <c r="N18" s="16" t="s">
        <v>177</v>
      </c>
      <c r="O18" s="16" t="s">
        <v>156</v>
      </c>
      <c r="P18" s="18" t="s">
        <v>97</v>
      </c>
      <c r="Q18" s="16">
        <v>3</v>
      </c>
      <c r="R18" s="16">
        <v>2</v>
      </c>
    </row>
    <row r="19" spans="1:18" ht="34.9" x14ac:dyDescent="0.45">
      <c r="A19" s="16" t="s">
        <v>220</v>
      </c>
      <c r="B19" s="19" t="s">
        <v>16</v>
      </c>
      <c r="C19" s="18" t="s">
        <v>221</v>
      </c>
      <c r="D19" s="18" t="s">
        <v>222</v>
      </c>
      <c r="E19" s="18" t="s">
        <v>223</v>
      </c>
      <c r="F19" s="18" t="s">
        <v>224</v>
      </c>
      <c r="G19" s="18" t="s">
        <v>225</v>
      </c>
      <c r="H19" s="18" t="s">
        <v>226</v>
      </c>
      <c r="I19" s="18" t="s">
        <v>227</v>
      </c>
      <c r="J19" s="18" t="s">
        <v>228</v>
      </c>
      <c r="K19" s="18" t="s">
        <v>229</v>
      </c>
      <c r="L19" s="18" t="s">
        <v>230</v>
      </c>
      <c r="M19" s="18" t="s">
        <v>231</v>
      </c>
      <c r="N19" s="16" t="s">
        <v>86</v>
      </c>
      <c r="O19" s="16" t="s">
        <v>22</v>
      </c>
      <c r="P19" s="18" t="s">
        <v>86</v>
      </c>
      <c r="Q19" s="16">
        <v>3</v>
      </c>
      <c r="R19" s="16">
        <v>3</v>
      </c>
    </row>
    <row r="20" spans="1:18" ht="34.9" x14ac:dyDescent="0.45">
      <c r="A20" s="16" t="s">
        <v>232</v>
      </c>
      <c r="B20" s="19" t="s">
        <v>16</v>
      </c>
      <c r="C20" s="18" t="s">
        <v>233</v>
      </c>
      <c r="D20" s="18" t="s">
        <v>863</v>
      </c>
      <c r="E20" s="18" t="s">
        <v>234</v>
      </c>
      <c r="F20" s="18" t="s">
        <v>235</v>
      </c>
      <c r="G20" s="18" t="s">
        <v>236</v>
      </c>
      <c r="H20" s="18" t="s">
        <v>237</v>
      </c>
      <c r="I20" s="18" t="s">
        <v>238</v>
      </c>
      <c r="J20" s="18" t="s">
        <v>864</v>
      </c>
      <c r="K20" s="18" t="s">
        <v>239</v>
      </c>
      <c r="L20" s="18" t="s">
        <v>240</v>
      </c>
      <c r="M20" s="18" t="s">
        <v>241</v>
      </c>
      <c r="N20" s="16" t="s">
        <v>97</v>
      </c>
      <c r="O20" s="16" t="s">
        <v>22</v>
      </c>
      <c r="P20" s="18" t="s">
        <v>98</v>
      </c>
      <c r="Q20" s="16">
        <v>4</v>
      </c>
      <c r="R20" s="16">
        <v>4</v>
      </c>
    </row>
    <row r="21" spans="1:18" ht="23.25" x14ac:dyDescent="0.45">
      <c r="A21" s="16" t="s">
        <v>242</v>
      </c>
      <c r="B21" s="19" t="s">
        <v>16</v>
      </c>
      <c r="C21" s="18" t="s">
        <v>243</v>
      </c>
      <c r="D21" s="18" t="s">
        <v>865</v>
      </c>
      <c r="E21" s="18" t="s">
        <v>244</v>
      </c>
      <c r="F21" s="18" t="s">
        <v>48</v>
      </c>
      <c r="G21" s="18" t="s">
        <v>245</v>
      </c>
      <c r="H21" s="18" t="s">
        <v>246</v>
      </c>
      <c r="I21" s="18" t="s">
        <v>247</v>
      </c>
      <c r="J21" s="18" t="s">
        <v>866</v>
      </c>
      <c r="K21" s="18" t="s">
        <v>248</v>
      </c>
      <c r="L21" s="18" t="s">
        <v>249</v>
      </c>
      <c r="M21" s="18" t="s">
        <v>250</v>
      </c>
      <c r="N21" s="16" t="s">
        <v>155</v>
      </c>
      <c r="O21" s="16" t="s">
        <v>21</v>
      </c>
      <c r="P21" s="18" t="s">
        <v>97</v>
      </c>
      <c r="Q21" s="16">
        <v>5</v>
      </c>
      <c r="R21" s="16">
        <v>2</v>
      </c>
    </row>
    <row r="22" spans="1:18" ht="46.5" x14ac:dyDescent="0.45">
      <c r="A22" s="16" t="s">
        <v>251</v>
      </c>
      <c r="B22" s="19" t="s">
        <v>16</v>
      </c>
      <c r="C22" s="18" t="s">
        <v>252</v>
      </c>
      <c r="D22" s="18" t="s">
        <v>253</v>
      </c>
      <c r="E22" s="18" t="s">
        <v>254</v>
      </c>
      <c r="F22" s="18" t="s">
        <v>255</v>
      </c>
      <c r="G22" s="18" t="s">
        <v>256</v>
      </c>
      <c r="H22" s="18" t="s">
        <v>257</v>
      </c>
      <c r="I22" s="18" t="s">
        <v>258</v>
      </c>
      <c r="J22" s="18" t="s">
        <v>259</v>
      </c>
      <c r="K22" s="18" t="s">
        <v>260</v>
      </c>
      <c r="L22" s="18" t="s">
        <v>261</v>
      </c>
      <c r="M22" s="18" t="s">
        <v>262</v>
      </c>
      <c r="N22" s="16" t="s">
        <v>97</v>
      </c>
      <c r="O22" s="16" t="s">
        <v>23</v>
      </c>
      <c r="P22" s="18" t="s">
        <v>263</v>
      </c>
      <c r="Q22" s="16">
        <v>3</v>
      </c>
      <c r="R22" s="16">
        <v>4</v>
      </c>
    </row>
    <row r="23" spans="1:18" ht="34.9" x14ac:dyDescent="0.45">
      <c r="A23" s="16" t="s">
        <v>264</v>
      </c>
      <c r="B23" s="19" t="s">
        <v>16</v>
      </c>
      <c r="C23" s="18" t="s">
        <v>265</v>
      </c>
      <c r="D23" s="18" t="s">
        <v>867</v>
      </c>
      <c r="E23" s="18" t="s">
        <v>266</v>
      </c>
      <c r="F23" s="18" t="s">
        <v>267</v>
      </c>
      <c r="G23" s="18" t="s">
        <v>268</v>
      </c>
      <c r="H23" s="18" t="s">
        <v>269</v>
      </c>
      <c r="I23" s="18" t="s">
        <v>270</v>
      </c>
      <c r="J23" s="18" t="s">
        <v>868</v>
      </c>
      <c r="K23" s="18" t="s">
        <v>271</v>
      </c>
      <c r="L23" s="18" t="s">
        <v>272</v>
      </c>
      <c r="M23" s="18" t="s">
        <v>273</v>
      </c>
      <c r="N23" s="16" t="s">
        <v>86</v>
      </c>
      <c r="O23" s="16" t="s">
        <v>21</v>
      </c>
      <c r="P23" s="18" t="s">
        <v>97</v>
      </c>
      <c r="Q23" s="16">
        <v>4</v>
      </c>
      <c r="R23" s="16">
        <v>3</v>
      </c>
    </row>
    <row r="24" spans="1:18" ht="23.25" x14ac:dyDescent="0.45">
      <c r="A24" s="16" t="s">
        <v>274</v>
      </c>
      <c r="B24" s="19" t="s">
        <v>16</v>
      </c>
      <c r="C24" s="18" t="s">
        <v>275</v>
      </c>
      <c r="D24" s="18" t="s">
        <v>869</v>
      </c>
      <c r="E24" s="18" t="s">
        <v>276</v>
      </c>
      <c r="F24" s="18" t="s">
        <v>277</v>
      </c>
      <c r="G24" s="18" t="s">
        <v>278</v>
      </c>
      <c r="H24" s="18" t="s">
        <v>279</v>
      </c>
      <c r="I24" s="18" t="s">
        <v>280</v>
      </c>
      <c r="J24" s="18" t="s">
        <v>870</v>
      </c>
      <c r="K24" s="18" t="s">
        <v>281</v>
      </c>
      <c r="L24" s="18" t="s">
        <v>282</v>
      </c>
      <c r="M24" s="18" t="s">
        <v>283</v>
      </c>
      <c r="N24" s="16" t="s">
        <v>86</v>
      </c>
      <c r="O24" s="16" t="s">
        <v>21</v>
      </c>
      <c r="P24" s="18" t="s">
        <v>98</v>
      </c>
      <c r="Q24" s="16">
        <v>3</v>
      </c>
      <c r="R24" s="16">
        <v>3</v>
      </c>
    </row>
    <row r="25" spans="1:18" ht="23.25" x14ac:dyDescent="0.45">
      <c r="A25" s="16" t="s">
        <v>284</v>
      </c>
      <c r="B25" s="19" t="s">
        <v>16</v>
      </c>
      <c r="C25" s="18" t="s">
        <v>285</v>
      </c>
      <c r="D25" s="18" t="s">
        <v>871</v>
      </c>
      <c r="E25" s="18" t="s">
        <v>286</v>
      </c>
      <c r="F25" s="18" t="s">
        <v>287</v>
      </c>
      <c r="G25" s="18" t="s">
        <v>288</v>
      </c>
      <c r="H25" s="18" t="s">
        <v>289</v>
      </c>
      <c r="I25" s="18" t="s">
        <v>290</v>
      </c>
      <c r="J25" s="18" t="s">
        <v>872</v>
      </c>
      <c r="K25" s="18" t="s">
        <v>291</v>
      </c>
      <c r="L25" s="18" t="s">
        <v>292</v>
      </c>
      <c r="M25" s="18" t="s">
        <v>293</v>
      </c>
      <c r="N25" s="16" t="s">
        <v>98</v>
      </c>
      <c r="O25" s="16" t="s">
        <v>22</v>
      </c>
      <c r="P25" s="18" t="s">
        <v>98</v>
      </c>
      <c r="Q25" s="16">
        <v>3</v>
      </c>
      <c r="R25" s="16">
        <v>4</v>
      </c>
    </row>
    <row r="26" spans="1:18" ht="34.9" x14ac:dyDescent="0.45">
      <c r="A26" s="16" t="s">
        <v>294</v>
      </c>
      <c r="B26" s="19" t="s">
        <v>16</v>
      </c>
      <c r="C26" s="18" t="s">
        <v>295</v>
      </c>
      <c r="D26" s="18" t="s">
        <v>873</v>
      </c>
      <c r="E26" s="18" t="s">
        <v>296</v>
      </c>
      <c r="F26" s="18" t="s">
        <v>297</v>
      </c>
      <c r="G26" s="18" t="s">
        <v>298</v>
      </c>
      <c r="H26" s="18" t="s">
        <v>299</v>
      </c>
      <c r="I26" s="18" t="s">
        <v>300</v>
      </c>
      <c r="J26" s="18" t="s">
        <v>874</v>
      </c>
      <c r="K26" s="18" t="s">
        <v>301</v>
      </c>
      <c r="L26" s="18" t="s">
        <v>302</v>
      </c>
      <c r="M26" s="18" t="s">
        <v>303</v>
      </c>
      <c r="N26" s="16" t="s">
        <v>86</v>
      </c>
      <c r="O26" s="16" t="s">
        <v>21</v>
      </c>
      <c r="P26" s="18" t="s">
        <v>97</v>
      </c>
      <c r="Q26" s="16">
        <v>4</v>
      </c>
      <c r="R26" s="16">
        <v>3</v>
      </c>
    </row>
    <row r="27" spans="1:18" ht="34.9" x14ac:dyDescent="0.45">
      <c r="A27" s="16" t="s">
        <v>304</v>
      </c>
      <c r="B27" s="19" t="s">
        <v>16</v>
      </c>
      <c r="C27" s="18" t="s">
        <v>305</v>
      </c>
      <c r="D27" s="18" t="s">
        <v>306</v>
      </c>
      <c r="E27" s="18" t="s">
        <v>307</v>
      </c>
      <c r="F27" s="18" t="s">
        <v>48</v>
      </c>
      <c r="G27" s="18" t="s">
        <v>308</v>
      </c>
      <c r="H27" s="18" t="s">
        <v>309</v>
      </c>
      <c r="I27" s="18" t="s">
        <v>310</v>
      </c>
      <c r="J27" s="18" t="s">
        <v>311</v>
      </c>
      <c r="K27" s="18" t="s">
        <v>312</v>
      </c>
      <c r="L27" s="18" t="s">
        <v>313</v>
      </c>
      <c r="M27" s="18" t="s">
        <v>314</v>
      </c>
      <c r="N27" s="16" t="s">
        <v>86</v>
      </c>
      <c r="O27" s="16" t="s">
        <v>21</v>
      </c>
      <c r="P27" s="18" t="s">
        <v>97</v>
      </c>
      <c r="Q27" s="16">
        <v>4</v>
      </c>
      <c r="R27" s="16">
        <v>3</v>
      </c>
    </row>
    <row r="28" spans="1:18" ht="34.9" x14ac:dyDescent="0.45">
      <c r="A28" s="16" t="s">
        <v>315</v>
      </c>
      <c r="B28" s="19" t="s">
        <v>16</v>
      </c>
      <c r="C28" s="18" t="s">
        <v>316</v>
      </c>
      <c r="D28" s="18" t="s">
        <v>875</v>
      </c>
      <c r="E28" s="18" t="s">
        <v>317</v>
      </c>
      <c r="F28" s="18" t="s">
        <v>318</v>
      </c>
      <c r="G28" s="18" t="s">
        <v>319</v>
      </c>
      <c r="H28" s="18" t="s">
        <v>320</v>
      </c>
      <c r="I28" s="18" t="s">
        <v>321</v>
      </c>
      <c r="J28" s="18" t="s">
        <v>876</v>
      </c>
      <c r="K28" s="18" t="s">
        <v>322</v>
      </c>
      <c r="L28" s="18" t="s">
        <v>323</v>
      </c>
      <c r="M28" s="18" t="s">
        <v>324</v>
      </c>
      <c r="N28" s="16" t="s">
        <v>97</v>
      </c>
      <c r="O28" s="16" t="s">
        <v>22</v>
      </c>
      <c r="P28" s="18" t="s">
        <v>97</v>
      </c>
      <c r="Q28" s="16">
        <v>5</v>
      </c>
      <c r="R28" s="16">
        <v>5</v>
      </c>
    </row>
    <row r="29" spans="1:18" ht="34.9" x14ac:dyDescent="0.45">
      <c r="A29" s="16" t="s">
        <v>325</v>
      </c>
      <c r="B29" s="19" t="s">
        <v>16</v>
      </c>
      <c r="C29" s="18" t="s">
        <v>326</v>
      </c>
      <c r="D29" s="18" t="s">
        <v>877</v>
      </c>
      <c r="E29" s="18" t="s">
        <v>327</v>
      </c>
      <c r="F29" s="18" t="s">
        <v>328</v>
      </c>
      <c r="G29" s="18" t="s">
        <v>329</v>
      </c>
      <c r="H29" s="18" t="s">
        <v>330</v>
      </c>
      <c r="I29" s="18" t="s">
        <v>331</v>
      </c>
      <c r="J29" s="18" t="s">
        <v>878</v>
      </c>
      <c r="K29" s="18" t="s">
        <v>332</v>
      </c>
      <c r="L29" s="18" t="s">
        <v>333</v>
      </c>
      <c r="M29" s="18" t="s">
        <v>334</v>
      </c>
      <c r="N29" s="16" t="s">
        <v>97</v>
      </c>
      <c r="O29" s="16" t="s">
        <v>23</v>
      </c>
      <c r="P29" s="18" t="s">
        <v>98</v>
      </c>
      <c r="Q29" s="16">
        <v>3</v>
      </c>
      <c r="R29" s="16">
        <v>4</v>
      </c>
    </row>
    <row r="30" spans="1:18" ht="23.25" x14ac:dyDescent="0.45">
      <c r="A30" s="16" t="s">
        <v>335</v>
      </c>
      <c r="B30" s="20" t="s">
        <v>17</v>
      </c>
      <c r="C30" s="18" t="s">
        <v>336</v>
      </c>
      <c r="D30" s="18" t="s">
        <v>879</v>
      </c>
      <c r="E30" s="18" t="s">
        <v>337</v>
      </c>
      <c r="F30" s="18" t="s">
        <v>201</v>
      </c>
      <c r="G30" s="18" t="s">
        <v>338</v>
      </c>
      <c r="H30" s="18" t="s">
        <v>339</v>
      </c>
      <c r="I30" s="18" t="s">
        <v>340</v>
      </c>
      <c r="J30" s="18" t="s">
        <v>880</v>
      </c>
      <c r="K30" s="18" t="s">
        <v>341</v>
      </c>
      <c r="L30" s="18" t="s">
        <v>342</v>
      </c>
      <c r="M30" s="18" t="s">
        <v>343</v>
      </c>
      <c r="N30" s="16" t="s">
        <v>86</v>
      </c>
      <c r="O30" s="16" t="s">
        <v>21</v>
      </c>
      <c r="P30" s="18" t="s">
        <v>97</v>
      </c>
      <c r="Q30" s="16">
        <v>5</v>
      </c>
      <c r="R30" s="16">
        <v>3</v>
      </c>
    </row>
    <row r="31" spans="1:18" ht="34.9" x14ac:dyDescent="0.45">
      <c r="A31" s="16" t="s">
        <v>344</v>
      </c>
      <c r="B31" s="20" t="s">
        <v>17</v>
      </c>
      <c r="C31" s="18" t="s">
        <v>345</v>
      </c>
      <c r="D31" s="18" t="s">
        <v>881</v>
      </c>
      <c r="E31" s="18" t="s">
        <v>346</v>
      </c>
      <c r="F31" s="18" t="s">
        <v>347</v>
      </c>
      <c r="G31" s="18" t="s">
        <v>348</v>
      </c>
      <c r="H31" s="18" t="s">
        <v>349</v>
      </c>
      <c r="I31" s="18" t="s">
        <v>350</v>
      </c>
      <c r="J31" s="18" t="s">
        <v>882</v>
      </c>
      <c r="K31" s="18" t="s">
        <v>351</v>
      </c>
      <c r="L31" s="18" t="s">
        <v>352</v>
      </c>
      <c r="M31" s="18" t="s">
        <v>353</v>
      </c>
      <c r="N31" s="16" t="s">
        <v>86</v>
      </c>
      <c r="O31" s="16" t="s">
        <v>21</v>
      </c>
      <c r="P31" s="18" t="s">
        <v>97</v>
      </c>
      <c r="Q31" s="16">
        <v>4</v>
      </c>
      <c r="R31" s="16">
        <v>3</v>
      </c>
    </row>
    <row r="32" spans="1:18" ht="34.9" x14ac:dyDescent="0.45">
      <c r="A32" s="16" t="s">
        <v>354</v>
      </c>
      <c r="B32" s="20" t="s">
        <v>17</v>
      </c>
      <c r="C32" s="18" t="s">
        <v>355</v>
      </c>
      <c r="D32" s="18" t="s">
        <v>883</v>
      </c>
      <c r="E32" s="18" t="s">
        <v>356</v>
      </c>
      <c r="F32" s="18" t="s">
        <v>357</v>
      </c>
      <c r="G32" s="18" t="s">
        <v>358</v>
      </c>
      <c r="H32" s="18" t="s">
        <v>359</v>
      </c>
      <c r="I32" s="18" t="s">
        <v>360</v>
      </c>
      <c r="J32" s="18" t="s">
        <v>884</v>
      </c>
      <c r="K32" s="18" t="s">
        <v>361</v>
      </c>
      <c r="L32" s="18" t="s">
        <v>362</v>
      </c>
      <c r="M32" s="18" t="s">
        <v>363</v>
      </c>
      <c r="N32" s="16" t="s">
        <v>155</v>
      </c>
      <c r="O32" s="16" t="s">
        <v>156</v>
      </c>
      <c r="P32" s="18" t="s">
        <v>98</v>
      </c>
      <c r="Q32" s="16">
        <v>4</v>
      </c>
      <c r="R32" s="16">
        <v>2</v>
      </c>
    </row>
    <row r="33" spans="1:18" ht="34.9" x14ac:dyDescent="0.45">
      <c r="A33" s="16" t="s">
        <v>364</v>
      </c>
      <c r="B33" s="20" t="s">
        <v>17</v>
      </c>
      <c r="C33" s="18" t="s">
        <v>365</v>
      </c>
      <c r="D33" s="18" t="s">
        <v>885</v>
      </c>
      <c r="E33" s="18" t="s">
        <v>366</v>
      </c>
      <c r="F33" s="18" t="s">
        <v>367</v>
      </c>
      <c r="G33" s="18" t="s">
        <v>368</v>
      </c>
      <c r="H33" s="18" t="s">
        <v>369</v>
      </c>
      <c r="I33" s="18" t="s">
        <v>370</v>
      </c>
      <c r="J33" s="18" t="s">
        <v>886</v>
      </c>
      <c r="K33" s="18" t="s">
        <v>371</v>
      </c>
      <c r="L33" s="18" t="s">
        <v>372</v>
      </c>
      <c r="M33" s="18" t="s">
        <v>373</v>
      </c>
      <c r="N33" s="16" t="s">
        <v>86</v>
      </c>
      <c r="O33" s="16" t="s">
        <v>21</v>
      </c>
      <c r="P33" s="18" t="s">
        <v>98</v>
      </c>
      <c r="Q33" s="16">
        <v>4</v>
      </c>
      <c r="R33" s="16">
        <v>3</v>
      </c>
    </row>
    <row r="34" spans="1:18" ht="34.9" x14ac:dyDescent="0.45">
      <c r="A34" s="16" t="s">
        <v>374</v>
      </c>
      <c r="B34" s="20" t="s">
        <v>17</v>
      </c>
      <c r="C34" s="18" t="s">
        <v>375</v>
      </c>
      <c r="D34" s="18" t="s">
        <v>887</v>
      </c>
      <c r="E34" s="18" t="s">
        <v>376</v>
      </c>
      <c r="F34" s="18" t="s">
        <v>377</v>
      </c>
      <c r="G34" s="18" t="s">
        <v>378</v>
      </c>
      <c r="H34" s="18" t="s">
        <v>379</v>
      </c>
      <c r="I34" s="18" t="s">
        <v>380</v>
      </c>
      <c r="J34" s="18" t="s">
        <v>888</v>
      </c>
      <c r="K34" s="18" t="s">
        <v>381</v>
      </c>
      <c r="L34" s="18" t="s">
        <v>382</v>
      </c>
      <c r="M34" s="18" t="s">
        <v>383</v>
      </c>
      <c r="N34" s="16" t="s">
        <v>155</v>
      </c>
      <c r="O34" s="16" t="s">
        <v>156</v>
      </c>
      <c r="P34" s="18" t="s">
        <v>98</v>
      </c>
      <c r="Q34" s="16">
        <v>3</v>
      </c>
      <c r="R34" s="16">
        <v>2</v>
      </c>
    </row>
    <row r="35" spans="1:18" ht="34.9" x14ac:dyDescent="0.45">
      <c r="A35" s="16" t="s">
        <v>384</v>
      </c>
      <c r="B35" s="20" t="s">
        <v>17</v>
      </c>
      <c r="C35" s="18" t="s">
        <v>385</v>
      </c>
      <c r="D35" s="18" t="s">
        <v>889</v>
      </c>
      <c r="E35" s="18" t="s">
        <v>386</v>
      </c>
      <c r="F35" s="18" t="s">
        <v>212</v>
      </c>
      <c r="G35" s="18" t="s">
        <v>387</v>
      </c>
      <c r="H35" s="18" t="s">
        <v>388</v>
      </c>
      <c r="I35" s="18" t="s">
        <v>389</v>
      </c>
      <c r="J35" s="18" t="s">
        <v>890</v>
      </c>
      <c r="K35" s="18" t="s">
        <v>390</v>
      </c>
      <c r="L35" s="18" t="s">
        <v>391</v>
      </c>
      <c r="M35" s="18" t="s">
        <v>392</v>
      </c>
      <c r="N35" s="16" t="s">
        <v>155</v>
      </c>
      <c r="O35" s="16" t="s">
        <v>156</v>
      </c>
      <c r="P35" s="18" t="s">
        <v>86</v>
      </c>
      <c r="Q35" s="16">
        <v>3</v>
      </c>
      <c r="R35" s="16">
        <v>2</v>
      </c>
    </row>
    <row r="36" spans="1:18" ht="34.9" x14ac:dyDescent="0.45">
      <c r="A36" s="16" t="s">
        <v>393</v>
      </c>
      <c r="B36" s="20" t="s">
        <v>17</v>
      </c>
      <c r="C36" s="18" t="s">
        <v>394</v>
      </c>
      <c r="D36" s="18" t="s">
        <v>891</v>
      </c>
      <c r="E36" s="18" t="s">
        <v>395</v>
      </c>
      <c r="F36" s="18" t="s">
        <v>396</v>
      </c>
      <c r="G36" s="18" t="s">
        <v>397</v>
      </c>
      <c r="H36" s="18" t="s">
        <v>398</v>
      </c>
      <c r="I36" s="18" t="s">
        <v>399</v>
      </c>
      <c r="J36" s="18" t="s">
        <v>892</v>
      </c>
      <c r="K36" s="18" t="s">
        <v>400</v>
      </c>
      <c r="L36" s="18" t="s">
        <v>401</v>
      </c>
      <c r="M36" s="18" t="s">
        <v>402</v>
      </c>
      <c r="N36" s="16" t="s">
        <v>155</v>
      </c>
      <c r="O36" s="16" t="s">
        <v>156</v>
      </c>
      <c r="P36" s="18" t="s">
        <v>97</v>
      </c>
      <c r="Q36" s="16">
        <v>3</v>
      </c>
      <c r="R36" s="16">
        <v>2</v>
      </c>
    </row>
    <row r="37" spans="1:18" ht="34.9" x14ac:dyDescent="0.45">
      <c r="A37" s="16" t="s">
        <v>403</v>
      </c>
      <c r="B37" s="20" t="s">
        <v>17</v>
      </c>
      <c r="C37" s="18" t="s">
        <v>404</v>
      </c>
      <c r="D37" s="18" t="s">
        <v>893</v>
      </c>
      <c r="E37" s="18" t="s">
        <v>405</v>
      </c>
      <c r="F37" s="18" t="s">
        <v>406</v>
      </c>
      <c r="G37" s="18" t="s">
        <v>407</v>
      </c>
      <c r="H37" s="18" t="s">
        <v>408</v>
      </c>
      <c r="I37" s="18" t="s">
        <v>409</v>
      </c>
      <c r="J37" s="18" t="s">
        <v>894</v>
      </c>
      <c r="K37" s="18" t="s">
        <v>410</v>
      </c>
      <c r="L37" s="18" t="s">
        <v>411</v>
      </c>
      <c r="M37" s="18" t="s">
        <v>412</v>
      </c>
      <c r="N37" s="16" t="s">
        <v>97</v>
      </c>
      <c r="O37" s="16" t="s">
        <v>23</v>
      </c>
      <c r="P37" s="18" t="s">
        <v>413</v>
      </c>
      <c r="Q37" s="16">
        <v>3</v>
      </c>
      <c r="R37" s="16">
        <v>5</v>
      </c>
    </row>
    <row r="38" spans="1:18" ht="34.9" x14ac:dyDescent="0.45">
      <c r="A38" s="16" t="s">
        <v>414</v>
      </c>
      <c r="B38" s="20" t="s">
        <v>17</v>
      </c>
      <c r="C38" s="18" t="s">
        <v>415</v>
      </c>
      <c r="D38" s="18" t="s">
        <v>416</v>
      </c>
      <c r="E38" s="18" t="s">
        <v>417</v>
      </c>
      <c r="F38" s="18" t="s">
        <v>418</v>
      </c>
      <c r="G38" s="18" t="s">
        <v>419</v>
      </c>
      <c r="H38" s="18" t="s">
        <v>420</v>
      </c>
      <c r="I38" s="18" t="s">
        <v>421</v>
      </c>
      <c r="J38" s="18" t="s">
        <v>422</v>
      </c>
      <c r="K38" s="18" t="s">
        <v>423</v>
      </c>
      <c r="L38" s="18" t="s">
        <v>424</v>
      </c>
      <c r="M38" s="18" t="s">
        <v>425</v>
      </c>
      <c r="N38" s="16" t="s">
        <v>86</v>
      </c>
      <c r="O38" s="16" t="s">
        <v>22</v>
      </c>
      <c r="P38" s="18" t="s">
        <v>98</v>
      </c>
      <c r="Q38" s="16">
        <v>4</v>
      </c>
      <c r="R38" s="16">
        <v>3</v>
      </c>
    </row>
    <row r="39" spans="1:18" ht="34.9" x14ac:dyDescent="0.45">
      <c r="A39" s="16" t="s">
        <v>426</v>
      </c>
      <c r="B39" s="20" t="s">
        <v>17</v>
      </c>
      <c r="C39" s="18" t="s">
        <v>427</v>
      </c>
      <c r="D39" s="18" t="s">
        <v>895</v>
      </c>
      <c r="E39" s="18" t="s">
        <v>428</v>
      </c>
      <c r="F39" s="18" t="s">
        <v>429</v>
      </c>
      <c r="G39" s="18" t="s">
        <v>430</v>
      </c>
      <c r="H39" s="18" t="s">
        <v>431</v>
      </c>
      <c r="I39" s="18" t="s">
        <v>432</v>
      </c>
      <c r="J39" s="18" t="s">
        <v>896</v>
      </c>
      <c r="K39" s="18" t="s">
        <v>433</v>
      </c>
      <c r="L39" s="18" t="s">
        <v>434</v>
      </c>
      <c r="M39" s="18" t="s">
        <v>435</v>
      </c>
      <c r="N39" s="16" t="s">
        <v>155</v>
      </c>
      <c r="O39" s="16" t="s">
        <v>21</v>
      </c>
      <c r="P39" s="18" t="s">
        <v>98</v>
      </c>
      <c r="Q39" s="16">
        <v>3</v>
      </c>
      <c r="R39" s="16">
        <v>2</v>
      </c>
    </row>
    <row r="40" spans="1:18" ht="34.9" x14ac:dyDescent="0.45">
      <c r="A40" s="16" t="s">
        <v>436</v>
      </c>
      <c r="B40" s="20" t="s">
        <v>17</v>
      </c>
      <c r="C40" s="18" t="s">
        <v>437</v>
      </c>
      <c r="D40" s="18" t="s">
        <v>897</v>
      </c>
      <c r="E40" s="18" t="s">
        <v>438</v>
      </c>
      <c r="F40" s="18" t="s">
        <v>439</v>
      </c>
      <c r="G40" s="18" t="s">
        <v>440</v>
      </c>
      <c r="H40" s="18" t="s">
        <v>441</v>
      </c>
      <c r="I40" s="18" t="s">
        <v>442</v>
      </c>
      <c r="J40" s="18" t="s">
        <v>898</v>
      </c>
      <c r="K40" s="18" t="s">
        <v>390</v>
      </c>
      <c r="L40" s="18" t="s">
        <v>443</v>
      </c>
      <c r="M40" s="18" t="s">
        <v>444</v>
      </c>
      <c r="N40" s="16" t="s">
        <v>177</v>
      </c>
      <c r="O40" s="16" t="s">
        <v>156</v>
      </c>
      <c r="P40" s="18" t="s">
        <v>97</v>
      </c>
      <c r="Q40" s="16">
        <v>3</v>
      </c>
      <c r="R40" s="16">
        <v>1</v>
      </c>
    </row>
    <row r="41" spans="1:18" ht="34.9" x14ac:dyDescent="0.45">
      <c r="A41" s="16" t="s">
        <v>445</v>
      </c>
      <c r="B41" s="20" t="s">
        <v>17</v>
      </c>
      <c r="C41" s="18" t="s">
        <v>446</v>
      </c>
      <c r="D41" s="18" t="s">
        <v>899</v>
      </c>
      <c r="E41" s="18" t="s">
        <v>447</v>
      </c>
      <c r="F41" s="18" t="s">
        <v>448</v>
      </c>
      <c r="G41" s="18" t="s">
        <v>449</v>
      </c>
      <c r="H41" s="18" t="s">
        <v>450</v>
      </c>
      <c r="I41" s="18" t="s">
        <v>451</v>
      </c>
      <c r="J41" s="18" t="s">
        <v>900</v>
      </c>
      <c r="K41" s="18" t="s">
        <v>452</v>
      </c>
      <c r="L41" s="18" t="s">
        <v>453</v>
      </c>
      <c r="M41" s="18" t="s">
        <v>454</v>
      </c>
      <c r="N41" s="16" t="s">
        <v>86</v>
      </c>
      <c r="O41" s="16" t="s">
        <v>21</v>
      </c>
      <c r="P41" s="18" t="s">
        <v>97</v>
      </c>
      <c r="Q41" s="16">
        <v>5</v>
      </c>
      <c r="R41" s="16">
        <v>3</v>
      </c>
    </row>
    <row r="42" spans="1:18" ht="34.9" x14ac:dyDescent="0.45">
      <c r="A42" s="16" t="s">
        <v>455</v>
      </c>
      <c r="B42" s="20" t="s">
        <v>17</v>
      </c>
      <c r="C42" s="18" t="s">
        <v>456</v>
      </c>
      <c r="D42" s="18" t="s">
        <v>901</v>
      </c>
      <c r="E42" s="18" t="s">
        <v>457</v>
      </c>
      <c r="F42" s="18" t="s">
        <v>458</v>
      </c>
      <c r="G42" s="18" t="s">
        <v>459</v>
      </c>
      <c r="H42" s="18" t="s">
        <v>460</v>
      </c>
      <c r="I42" s="18" t="s">
        <v>461</v>
      </c>
      <c r="J42" s="18" t="s">
        <v>902</v>
      </c>
      <c r="K42" s="18" t="s">
        <v>462</v>
      </c>
      <c r="L42" s="18" t="s">
        <v>463</v>
      </c>
      <c r="M42" s="18" t="s">
        <v>464</v>
      </c>
      <c r="N42" s="16" t="s">
        <v>155</v>
      </c>
      <c r="O42" s="16" t="s">
        <v>156</v>
      </c>
      <c r="P42" s="18" t="s">
        <v>98</v>
      </c>
      <c r="Q42" s="16">
        <v>3</v>
      </c>
      <c r="R42" s="16">
        <v>2</v>
      </c>
    </row>
    <row r="43" spans="1:18" ht="23.25" x14ac:dyDescent="0.45">
      <c r="A43" s="16" t="s">
        <v>465</v>
      </c>
      <c r="B43" s="20" t="s">
        <v>17</v>
      </c>
      <c r="C43" s="18" t="s">
        <v>466</v>
      </c>
      <c r="D43" s="18" t="s">
        <v>903</v>
      </c>
      <c r="E43" s="18" t="s">
        <v>467</v>
      </c>
      <c r="F43" s="18" t="s">
        <v>48</v>
      </c>
      <c r="G43" s="18" t="s">
        <v>468</v>
      </c>
      <c r="H43" s="18" t="s">
        <v>469</v>
      </c>
      <c r="I43" s="18" t="s">
        <v>470</v>
      </c>
      <c r="J43" s="18" t="s">
        <v>904</v>
      </c>
      <c r="K43" s="18" t="s">
        <v>452</v>
      </c>
      <c r="L43" s="18" t="s">
        <v>471</v>
      </c>
      <c r="M43" s="18" t="s">
        <v>472</v>
      </c>
      <c r="N43" s="16" t="s">
        <v>155</v>
      </c>
      <c r="O43" s="16" t="s">
        <v>21</v>
      </c>
      <c r="P43" s="18" t="s">
        <v>97</v>
      </c>
      <c r="Q43" s="16">
        <v>4</v>
      </c>
      <c r="R43" s="16">
        <v>2</v>
      </c>
    </row>
    <row r="44" spans="1:18" ht="23.25" x14ac:dyDescent="0.45">
      <c r="A44" s="16" t="s">
        <v>473</v>
      </c>
      <c r="B44" s="20" t="s">
        <v>17</v>
      </c>
      <c r="C44" s="18" t="s">
        <v>474</v>
      </c>
      <c r="D44" s="18" t="s">
        <v>905</v>
      </c>
      <c r="E44" s="18" t="s">
        <v>475</v>
      </c>
      <c r="F44" s="18" t="s">
        <v>476</v>
      </c>
      <c r="G44" s="18" t="s">
        <v>477</v>
      </c>
      <c r="H44" s="18" t="s">
        <v>478</v>
      </c>
      <c r="I44" s="18" t="s">
        <v>479</v>
      </c>
      <c r="J44" s="18" t="s">
        <v>906</v>
      </c>
      <c r="K44" s="18" t="s">
        <v>390</v>
      </c>
      <c r="L44" s="18" t="s">
        <v>480</v>
      </c>
      <c r="M44" s="18" t="s">
        <v>481</v>
      </c>
      <c r="N44" s="16" t="s">
        <v>177</v>
      </c>
      <c r="O44" s="16" t="s">
        <v>156</v>
      </c>
      <c r="P44" s="18" t="s">
        <v>98</v>
      </c>
      <c r="Q44" s="16">
        <v>3</v>
      </c>
      <c r="R44" s="16">
        <v>1</v>
      </c>
    </row>
    <row r="45" spans="1:18" ht="34.9" x14ac:dyDescent="0.45">
      <c r="A45" s="16" t="s">
        <v>482</v>
      </c>
      <c r="B45" s="20" t="s">
        <v>17</v>
      </c>
      <c r="C45" s="18" t="s">
        <v>483</v>
      </c>
      <c r="D45" s="18" t="s">
        <v>907</v>
      </c>
      <c r="E45" s="18" t="s">
        <v>484</v>
      </c>
      <c r="F45" s="18" t="s">
        <v>485</v>
      </c>
      <c r="G45" s="18" t="s">
        <v>486</v>
      </c>
      <c r="H45" s="18" t="s">
        <v>487</v>
      </c>
      <c r="I45" s="18" t="s">
        <v>488</v>
      </c>
      <c r="J45" s="18" t="s">
        <v>908</v>
      </c>
      <c r="K45" s="18" t="s">
        <v>489</v>
      </c>
      <c r="L45" s="18" t="s">
        <v>490</v>
      </c>
      <c r="M45" s="18" t="s">
        <v>491</v>
      </c>
      <c r="N45" s="16" t="s">
        <v>86</v>
      </c>
      <c r="O45" s="16" t="s">
        <v>22</v>
      </c>
      <c r="P45" s="18" t="s">
        <v>86</v>
      </c>
      <c r="Q45" s="16">
        <v>3</v>
      </c>
      <c r="R45" s="16">
        <v>3</v>
      </c>
    </row>
    <row r="46" spans="1:18" ht="34.9" x14ac:dyDescent="0.45">
      <c r="A46" s="16" t="s">
        <v>492</v>
      </c>
      <c r="B46" s="20" t="s">
        <v>17</v>
      </c>
      <c r="C46" s="18" t="s">
        <v>493</v>
      </c>
      <c r="D46" s="18" t="s">
        <v>909</v>
      </c>
      <c r="E46" s="18" t="s">
        <v>494</v>
      </c>
      <c r="F46" s="18" t="s">
        <v>495</v>
      </c>
      <c r="G46" s="18" t="s">
        <v>496</v>
      </c>
      <c r="H46" s="18" t="s">
        <v>497</v>
      </c>
      <c r="I46" s="18" t="s">
        <v>498</v>
      </c>
      <c r="J46" s="18" t="s">
        <v>910</v>
      </c>
      <c r="K46" s="18" t="s">
        <v>499</v>
      </c>
      <c r="L46" s="18" t="s">
        <v>500</v>
      </c>
      <c r="M46" s="18" t="s">
        <v>501</v>
      </c>
      <c r="N46" s="16" t="s">
        <v>86</v>
      </c>
      <c r="O46" s="16" t="s">
        <v>22</v>
      </c>
      <c r="P46" s="18" t="s">
        <v>502</v>
      </c>
      <c r="Q46" s="16">
        <v>3</v>
      </c>
      <c r="R46" s="16">
        <v>3</v>
      </c>
    </row>
    <row r="47" spans="1:18" ht="34.9" x14ac:dyDescent="0.45">
      <c r="A47" s="16" t="s">
        <v>503</v>
      </c>
      <c r="B47" s="20" t="s">
        <v>17</v>
      </c>
      <c r="C47" s="18" t="s">
        <v>504</v>
      </c>
      <c r="D47" s="18" t="s">
        <v>911</v>
      </c>
      <c r="E47" s="18" t="s">
        <v>505</v>
      </c>
      <c r="F47" s="18" t="s">
        <v>406</v>
      </c>
      <c r="G47" s="18" t="s">
        <v>506</v>
      </c>
      <c r="H47" s="18" t="s">
        <v>507</v>
      </c>
      <c r="I47" s="18" t="s">
        <v>508</v>
      </c>
      <c r="J47" s="18" t="s">
        <v>912</v>
      </c>
      <c r="K47" s="18" t="s">
        <v>452</v>
      </c>
      <c r="L47" s="18" t="s">
        <v>509</v>
      </c>
      <c r="M47" s="18" t="s">
        <v>510</v>
      </c>
      <c r="N47" s="16" t="s">
        <v>97</v>
      </c>
      <c r="O47" s="16" t="s">
        <v>23</v>
      </c>
      <c r="P47" s="18" t="s">
        <v>413</v>
      </c>
      <c r="Q47" s="16">
        <v>3</v>
      </c>
      <c r="R47" s="16">
        <v>5</v>
      </c>
    </row>
    <row r="48" spans="1:18" ht="34.9" x14ac:dyDescent="0.45">
      <c r="A48" s="16" t="s">
        <v>511</v>
      </c>
      <c r="B48" s="20" t="s">
        <v>17</v>
      </c>
      <c r="C48" s="18" t="s">
        <v>512</v>
      </c>
      <c r="D48" s="18" t="s">
        <v>913</v>
      </c>
      <c r="E48" s="18" t="s">
        <v>513</v>
      </c>
      <c r="F48" s="18" t="s">
        <v>514</v>
      </c>
      <c r="G48" s="18" t="s">
        <v>515</v>
      </c>
      <c r="H48" s="18" t="s">
        <v>516</v>
      </c>
      <c r="I48" s="18" t="s">
        <v>517</v>
      </c>
      <c r="J48" s="18" t="s">
        <v>914</v>
      </c>
      <c r="K48" s="18" t="s">
        <v>518</v>
      </c>
      <c r="L48" s="18" t="s">
        <v>519</v>
      </c>
      <c r="M48" s="18" t="s">
        <v>520</v>
      </c>
      <c r="N48" s="16" t="s">
        <v>86</v>
      </c>
      <c r="O48" s="16" t="s">
        <v>22</v>
      </c>
      <c r="P48" s="18" t="s">
        <v>86</v>
      </c>
      <c r="Q48" s="16">
        <v>3</v>
      </c>
      <c r="R48" s="16">
        <v>3</v>
      </c>
    </row>
    <row r="49" spans="1:18" ht="34.9" x14ac:dyDescent="0.45">
      <c r="A49" s="16" t="s">
        <v>521</v>
      </c>
      <c r="B49" s="20" t="s">
        <v>17</v>
      </c>
      <c r="C49" s="18" t="s">
        <v>522</v>
      </c>
      <c r="D49" s="18" t="s">
        <v>915</v>
      </c>
      <c r="E49" s="18" t="s">
        <v>523</v>
      </c>
      <c r="F49" s="18" t="s">
        <v>524</v>
      </c>
      <c r="G49" s="18" t="s">
        <v>525</v>
      </c>
      <c r="H49" s="18" t="s">
        <v>526</v>
      </c>
      <c r="I49" s="18" t="s">
        <v>527</v>
      </c>
      <c r="J49" s="18" t="s">
        <v>916</v>
      </c>
      <c r="K49" s="18" t="s">
        <v>528</v>
      </c>
      <c r="L49" s="18" t="s">
        <v>529</v>
      </c>
      <c r="M49" s="18" t="s">
        <v>530</v>
      </c>
      <c r="N49" s="16" t="s">
        <v>155</v>
      </c>
      <c r="O49" s="16" t="s">
        <v>156</v>
      </c>
      <c r="P49" s="18" t="s">
        <v>98</v>
      </c>
      <c r="Q49" s="16">
        <v>3</v>
      </c>
      <c r="R49" s="16">
        <v>2</v>
      </c>
    </row>
    <row r="50" spans="1:18" ht="46.5" x14ac:dyDescent="0.45">
      <c r="A50" s="16" t="s">
        <v>531</v>
      </c>
      <c r="B50" s="20" t="s">
        <v>17</v>
      </c>
      <c r="C50" s="18" t="s">
        <v>532</v>
      </c>
      <c r="D50" s="18" t="s">
        <v>917</v>
      </c>
      <c r="E50" s="18" t="s">
        <v>533</v>
      </c>
      <c r="F50" s="18" t="s">
        <v>534</v>
      </c>
      <c r="G50" s="18" t="s">
        <v>535</v>
      </c>
      <c r="H50" s="18" t="s">
        <v>536</v>
      </c>
      <c r="I50" s="18" t="s">
        <v>537</v>
      </c>
      <c r="J50" s="18" t="s">
        <v>918</v>
      </c>
      <c r="K50" s="18" t="s">
        <v>538</v>
      </c>
      <c r="L50" s="18" t="s">
        <v>539</v>
      </c>
      <c r="M50" s="18" t="s">
        <v>540</v>
      </c>
      <c r="N50" s="16" t="s">
        <v>86</v>
      </c>
      <c r="O50" s="16" t="s">
        <v>21</v>
      </c>
      <c r="P50" s="18" t="s">
        <v>98</v>
      </c>
      <c r="Q50" s="16">
        <v>4</v>
      </c>
      <c r="R50" s="16">
        <v>3</v>
      </c>
    </row>
  </sheetData>
  <autoFilter ref="A4:R50" xr:uid="{00000000-0009-0000-0000-000001000000}"/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7"/>
  <sheetViews>
    <sheetView showGridLines="0" zoomScaleNormal="100" workbookViewId="0">
      <selection sqref="A1:D1"/>
    </sheetView>
  </sheetViews>
  <sheetFormatPr defaultColWidth="8.6640625" defaultRowHeight="14.25" x14ac:dyDescent="0.45"/>
  <cols>
    <col min="1" max="1" width="22" customWidth="1"/>
    <col min="2" max="4" width="42" customWidth="1"/>
  </cols>
  <sheetData>
    <row r="1" spans="1:4" ht="20.65" x14ac:dyDescent="0.6">
      <c r="A1" s="7" t="s">
        <v>541</v>
      </c>
      <c r="B1" s="7"/>
      <c r="C1" s="7"/>
      <c r="D1" s="7"/>
    </row>
    <row r="2" spans="1:4" x14ac:dyDescent="0.45">
      <c r="A2" s="6"/>
      <c r="B2" s="6"/>
      <c r="C2" s="6"/>
      <c r="D2" s="6"/>
    </row>
    <row r="4" spans="1:4" ht="15" customHeight="1" x14ac:dyDescent="0.45">
      <c r="A4" s="1" t="s">
        <v>542</v>
      </c>
      <c r="B4" s="1"/>
      <c r="C4" s="1"/>
      <c r="D4" s="1"/>
    </row>
    <row r="5" spans="1:4" ht="24" customHeight="1" x14ac:dyDescent="0.45">
      <c r="A5" s="21" t="s">
        <v>62</v>
      </c>
      <c r="B5" s="2" t="s">
        <v>78</v>
      </c>
      <c r="C5" s="2"/>
      <c r="D5" s="2"/>
    </row>
    <row r="6" spans="1:4" ht="13.5" customHeight="1" x14ac:dyDescent="0.45">
      <c r="A6" s="21" t="s">
        <v>63</v>
      </c>
      <c r="B6" s="2" t="s">
        <v>831</v>
      </c>
      <c r="C6" s="2"/>
      <c r="D6" s="2"/>
    </row>
    <row r="7" spans="1:4" ht="13.5" customHeight="1" x14ac:dyDescent="0.45">
      <c r="A7" s="21" t="s">
        <v>25</v>
      </c>
      <c r="B7" s="2" t="s">
        <v>79</v>
      </c>
      <c r="C7" s="2"/>
      <c r="D7" s="2"/>
    </row>
    <row r="8" spans="1:4" ht="13.5" customHeight="1" x14ac:dyDescent="0.45">
      <c r="A8" s="21" t="s">
        <v>64</v>
      </c>
      <c r="B8" s="2" t="s">
        <v>80</v>
      </c>
      <c r="C8" s="2"/>
      <c r="D8" s="2"/>
    </row>
    <row r="9" spans="1:4" ht="24" customHeight="1" x14ac:dyDescent="0.45">
      <c r="A9" s="21" t="s">
        <v>65</v>
      </c>
      <c r="B9" s="2" t="s">
        <v>81</v>
      </c>
      <c r="C9" s="2"/>
      <c r="D9" s="2"/>
    </row>
    <row r="10" spans="1:4" ht="13.5" customHeight="1" x14ac:dyDescent="0.45">
      <c r="A10" s="21" t="s">
        <v>66</v>
      </c>
      <c r="B10" s="2" t="s">
        <v>82</v>
      </c>
      <c r="C10" s="2"/>
      <c r="D10" s="2"/>
    </row>
    <row r="11" spans="1:4" ht="24" customHeight="1" x14ac:dyDescent="0.45">
      <c r="A11" s="21" t="s">
        <v>67</v>
      </c>
      <c r="B11" s="2" t="s">
        <v>832</v>
      </c>
      <c r="C11" s="2"/>
      <c r="D11" s="2"/>
    </row>
    <row r="12" spans="1:4" ht="13.5" customHeight="1" x14ac:dyDescent="0.45">
      <c r="A12" s="21" t="s">
        <v>68</v>
      </c>
      <c r="B12" s="2" t="s">
        <v>83</v>
      </c>
      <c r="C12" s="2"/>
      <c r="D12" s="2"/>
    </row>
    <row r="13" spans="1:4" ht="24" customHeight="1" x14ac:dyDescent="0.45">
      <c r="A13" s="21" t="s">
        <v>69</v>
      </c>
      <c r="B13" s="2" t="s">
        <v>84</v>
      </c>
      <c r="C13" s="2"/>
      <c r="D13" s="2"/>
    </row>
    <row r="14" spans="1:4" ht="24" customHeight="1" x14ac:dyDescent="0.45">
      <c r="A14" s="21" t="s">
        <v>70</v>
      </c>
      <c r="B14" s="2" t="s">
        <v>85</v>
      </c>
      <c r="C14" s="2"/>
      <c r="D14" s="2"/>
    </row>
    <row r="15" spans="1:4" ht="13.5" customHeight="1" x14ac:dyDescent="0.45">
      <c r="A15" s="21" t="s">
        <v>543</v>
      </c>
      <c r="B15" s="2" t="s">
        <v>86</v>
      </c>
      <c r="C15" s="2"/>
      <c r="D15" s="2"/>
    </row>
    <row r="16" spans="1:4" ht="13.5" customHeight="1" x14ac:dyDescent="0.45">
      <c r="A16" s="21" t="s">
        <v>73</v>
      </c>
      <c r="B16" s="2" t="s">
        <v>87</v>
      </c>
      <c r="C16" s="2"/>
      <c r="D16" s="2"/>
    </row>
    <row r="17" spans="1:4" ht="13.5" customHeight="1" x14ac:dyDescent="0.45">
      <c r="A17" s="21" t="s">
        <v>544</v>
      </c>
      <c r="B17" s="2" t="s">
        <v>21</v>
      </c>
      <c r="C17" s="2"/>
      <c r="D17" s="2"/>
    </row>
    <row r="19" spans="1:4" ht="15" customHeight="1" x14ac:dyDescent="0.45">
      <c r="A19" s="1" t="s">
        <v>545</v>
      </c>
      <c r="B19" s="1"/>
      <c r="C19" s="1"/>
      <c r="D19" s="1"/>
    </row>
    <row r="20" spans="1:4" ht="13.5" customHeight="1" x14ac:dyDescent="0.45">
      <c r="A20" s="21" t="s">
        <v>62</v>
      </c>
      <c r="B20" s="2" t="s">
        <v>90</v>
      </c>
      <c r="C20" s="2"/>
      <c r="D20" s="2"/>
    </row>
    <row r="21" spans="1:4" ht="13.5" customHeight="1" x14ac:dyDescent="0.45">
      <c r="A21" s="21" t="s">
        <v>63</v>
      </c>
      <c r="B21" s="2" t="s">
        <v>833</v>
      </c>
      <c r="C21" s="2"/>
      <c r="D21" s="2"/>
    </row>
    <row r="22" spans="1:4" ht="13.5" customHeight="1" x14ac:dyDescent="0.45">
      <c r="A22" s="21" t="s">
        <v>25</v>
      </c>
      <c r="B22" s="2" t="s">
        <v>834</v>
      </c>
      <c r="C22" s="2"/>
      <c r="D22" s="2"/>
    </row>
    <row r="23" spans="1:4" ht="24" customHeight="1" x14ac:dyDescent="0.45">
      <c r="A23" s="21" t="s">
        <v>64</v>
      </c>
      <c r="B23" s="2" t="s">
        <v>91</v>
      </c>
      <c r="C23" s="2"/>
      <c r="D23" s="2"/>
    </row>
    <row r="24" spans="1:4" ht="13.5" customHeight="1" x14ac:dyDescent="0.45">
      <c r="A24" s="21" t="s">
        <v>65</v>
      </c>
      <c r="B24" s="2" t="s">
        <v>92</v>
      </c>
      <c r="C24" s="2"/>
      <c r="D24" s="2"/>
    </row>
    <row r="25" spans="1:4" ht="24" customHeight="1" x14ac:dyDescent="0.45">
      <c r="A25" s="21" t="s">
        <v>66</v>
      </c>
      <c r="B25" s="2" t="s">
        <v>93</v>
      </c>
      <c r="C25" s="2"/>
      <c r="D25" s="2"/>
    </row>
    <row r="26" spans="1:4" ht="13.5" customHeight="1" x14ac:dyDescent="0.45">
      <c r="A26" s="21" t="s">
        <v>67</v>
      </c>
      <c r="B26" s="2" t="s">
        <v>835</v>
      </c>
      <c r="C26" s="2"/>
      <c r="D26" s="2"/>
    </row>
    <row r="27" spans="1:4" ht="13.5" customHeight="1" x14ac:dyDescent="0.45">
      <c r="A27" s="21" t="s">
        <v>68</v>
      </c>
      <c r="B27" s="2" t="s">
        <v>94</v>
      </c>
      <c r="C27" s="2"/>
      <c r="D27" s="2"/>
    </row>
    <row r="28" spans="1:4" ht="24" customHeight="1" x14ac:dyDescent="0.45">
      <c r="A28" s="21" t="s">
        <v>69</v>
      </c>
      <c r="B28" s="2" t="s">
        <v>95</v>
      </c>
      <c r="C28" s="2"/>
      <c r="D28" s="2"/>
    </row>
    <row r="29" spans="1:4" ht="13.5" customHeight="1" x14ac:dyDescent="0.45">
      <c r="A29" s="21" t="s">
        <v>70</v>
      </c>
      <c r="B29" s="2" t="s">
        <v>96</v>
      </c>
      <c r="C29" s="2"/>
      <c r="D29" s="2"/>
    </row>
    <row r="30" spans="1:4" ht="13.5" customHeight="1" x14ac:dyDescent="0.45">
      <c r="A30" s="21" t="s">
        <v>543</v>
      </c>
      <c r="B30" s="2" t="s">
        <v>97</v>
      </c>
      <c r="C30" s="2"/>
      <c r="D30" s="2"/>
    </row>
    <row r="31" spans="1:4" ht="13.5" customHeight="1" x14ac:dyDescent="0.45">
      <c r="A31" s="21" t="s">
        <v>73</v>
      </c>
      <c r="B31" s="2" t="s">
        <v>98</v>
      </c>
      <c r="C31" s="2"/>
      <c r="D31" s="2"/>
    </row>
    <row r="32" spans="1:4" ht="13.5" customHeight="1" x14ac:dyDescent="0.45">
      <c r="A32" s="21" t="s">
        <v>544</v>
      </c>
      <c r="B32" s="2" t="s">
        <v>21</v>
      </c>
      <c r="C32" s="2"/>
      <c r="D32" s="2"/>
    </row>
    <row r="34" spans="1:4" ht="15" customHeight="1" x14ac:dyDescent="0.45">
      <c r="A34" s="1" t="s">
        <v>546</v>
      </c>
      <c r="B34" s="1"/>
      <c r="C34" s="1"/>
      <c r="D34" s="1"/>
    </row>
    <row r="35" spans="1:4" ht="13.5" customHeight="1" x14ac:dyDescent="0.45">
      <c r="A35" s="21" t="s">
        <v>62</v>
      </c>
      <c r="B35" s="2" t="s">
        <v>101</v>
      </c>
      <c r="C35" s="2"/>
      <c r="D35" s="2"/>
    </row>
    <row r="36" spans="1:4" ht="13.5" customHeight="1" x14ac:dyDescent="0.45">
      <c r="A36" s="21" t="s">
        <v>63</v>
      </c>
      <c r="B36" s="2" t="s">
        <v>836</v>
      </c>
      <c r="C36" s="2"/>
      <c r="D36" s="2"/>
    </row>
    <row r="37" spans="1:4" ht="13.5" customHeight="1" x14ac:dyDescent="0.45">
      <c r="A37" s="21" t="s">
        <v>25</v>
      </c>
      <c r="B37" s="2" t="s">
        <v>102</v>
      </c>
      <c r="C37" s="2"/>
      <c r="D37" s="2"/>
    </row>
    <row r="38" spans="1:4" ht="24" customHeight="1" x14ac:dyDescent="0.45">
      <c r="A38" s="21" t="s">
        <v>64</v>
      </c>
      <c r="B38" s="2" t="s">
        <v>103</v>
      </c>
      <c r="C38" s="2"/>
      <c r="D38" s="2"/>
    </row>
    <row r="39" spans="1:4" ht="13.5" customHeight="1" x14ac:dyDescent="0.45">
      <c r="A39" s="21" t="s">
        <v>65</v>
      </c>
      <c r="B39" s="2" t="s">
        <v>104</v>
      </c>
      <c r="C39" s="2"/>
      <c r="D39" s="2"/>
    </row>
    <row r="40" spans="1:4" ht="24" customHeight="1" x14ac:dyDescent="0.45">
      <c r="A40" s="21" t="s">
        <v>66</v>
      </c>
      <c r="B40" s="2" t="s">
        <v>105</v>
      </c>
      <c r="C40" s="2"/>
      <c r="D40" s="2"/>
    </row>
    <row r="41" spans="1:4" ht="13.5" customHeight="1" x14ac:dyDescent="0.45">
      <c r="A41" s="21" t="s">
        <v>67</v>
      </c>
      <c r="B41" s="2" t="s">
        <v>837</v>
      </c>
      <c r="C41" s="2"/>
      <c r="D41" s="2"/>
    </row>
    <row r="42" spans="1:4" ht="13.5" customHeight="1" x14ac:dyDescent="0.45">
      <c r="A42" s="21" t="s">
        <v>68</v>
      </c>
      <c r="B42" s="2" t="s">
        <v>106</v>
      </c>
      <c r="C42" s="2"/>
      <c r="D42" s="2"/>
    </row>
    <row r="43" spans="1:4" ht="13.5" customHeight="1" x14ac:dyDescent="0.45">
      <c r="A43" s="21" t="s">
        <v>69</v>
      </c>
      <c r="B43" s="2" t="s">
        <v>107</v>
      </c>
      <c r="C43" s="2"/>
      <c r="D43" s="2"/>
    </row>
    <row r="44" spans="1:4" ht="13.5" customHeight="1" x14ac:dyDescent="0.45">
      <c r="A44" s="21" t="s">
        <v>70</v>
      </c>
      <c r="B44" s="2" t="s">
        <v>108</v>
      </c>
      <c r="C44" s="2"/>
      <c r="D44" s="2"/>
    </row>
    <row r="45" spans="1:4" ht="13.5" customHeight="1" x14ac:dyDescent="0.45">
      <c r="A45" s="21" t="s">
        <v>543</v>
      </c>
      <c r="B45" s="2" t="s">
        <v>86</v>
      </c>
      <c r="C45" s="2"/>
      <c r="D45" s="2"/>
    </row>
    <row r="46" spans="1:4" ht="13.5" customHeight="1" x14ac:dyDescent="0.45">
      <c r="A46" s="21" t="s">
        <v>73</v>
      </c>
      <c r="B46" s="2" t="s">
        <v>97</v>
      </c>
      <c r="C46" s="2"/>
      <c r="D46" s="2"/>
    </row>
    <row r="47" spans="1:4" ht="13.5" customHeight="1" x14ac:dyDescent="0.45">
      <c r="A47" s="21" t="s">
        <v>544</v>
      </c>
      <c r="B47" s="2" t="s">
        <v>21</v>
      </c>
      <c r="C47" s="2"/>
      <c r="D47" s="2"/>
    </row>
    <row r="49" spans="1:4" ht="15" customHeight="1" x14ac:dyDescent="0.45">
      <c r="A49" s="1" t="s">
        <v>547</v>
      </c>
      <c r="B49" s="1"/>
      <c r="C49" s="1"/>
      <c r="D49" s="1"/>
    </row>
    <row r="50" spans="1:4" ht="13.5" customHeight="1" x14ac:dyDescent="0.45">
      <c r="A50" s="21" t="s">
        <v>62</v>
      </c>
      <c r="B50" s="2" t="s">
        <v>111</v>
      </c>
      <c r="C50" s="2"/>
      <c r="D50" s="2"/>
    </row>
    <row r="51" spans="1:4" ht="24" customHeight="1" x14ac:dyDescent="0.45">
      <c r="A51" s="21" t="s">
        <v>63</v>
      </c>
      <c r="B51" s="2" t="s">
        <v>838</v>
      </c>
      <c r="C51" s="2"/>
      <c r="D51" s="2"/>
    </row>
    <row r="52" spans="1:4" ht="13.5" customHeight="1" x14ac:dyDescent="0.45">
      <c r="A52" s="21" t="s">
        <v>25</v>
      </c>
      <c r="B52" s="2" t="s">
        <v>839</v>
      </c>
      <c r="C52" s="2"/>
      <c r="D52" s="2"/>
    </row>
    <row r="53" spans="1:4" ht="24" customHeight="1" x14ac:dyDescent="0.45">
      <c r="A53" s="21" t="s">
        <v>64</v>
      </c>
      <c r="B53" s="2" t="s">
        <v>112</v>
      </c>
      <c r="C53" s="2"/>
      <c r="D53" s="2"/>
    </row>
    <row r="54" spans="1:4" ht="13.5" customHeight="1" x14ac:dyDescent="0.45">
      <c r="A54" s="21" t="s">
        <v>65</v>
      </c>
      <c r="B54" s="2" t="s">
        <v>113</v>
      </c>
      <c r="C54" s="2"/>
      <c r="D54" s="2"/>
    </row>
    <row r="55" spans="1:4" ht="24" customHeight="1" x14ac:dyDescent="0.45">
      <c r="A55" s="21" t="s">
        <v>66</v>
      </c>
      <c r="B55" s="2" t="s">
        <v>114</v>
      </c>
      <c r="C55" s="2"/>
      <c r="D55" s="2"/>
    </row>
    <row r="56" spans="1:4" ht="24" customHeight="1" x14ac:dyDescent="0.45">
      <c r="A56" s="21" t="s">
        <v>67</v>
      </c>
      <c r="B56" s="2" t="s">
        <v>840</v>
      </c>
      <c r="C56" s="2"/>
      <c r="D56" s="2"/>
    </row>
    <row r="57" spans="1:4" ht="13.5" customHeight="1" x14ac:dyDescent="0.45">
      <c r="A57" s="21" t="s">
        <v>68</v>
      </c>
      <c r="B57" s="2" t="s">
        <v>115</v>
      </c>
      <c r="C57" s="2"/>
      <c r="D57" s="2"/>
    </row>
    <row r="58" spans="1:4" ht="13.5" customHeight="1" x14ac:dyDescent="0.45">
      <c r="A58" s="21" t="s">
        <v>69</v>
      </c>
      <c r="B58" s="2" t="s">
        <v>116</v>
      </c>
      <c r="C58" s="2"/>
      <c r="D58" s="2"/>
    </row>
    <row r="59" spans="1:4" ht="24" customHeight="1" x14ac:dyDescent="0.45">
      <c r="A59" s="21" t="s">
        <v>70</v>
      </c>
      <c r="B59" s="2" t="s">
        <v>117</v>
      </c>
      <c r="C59" s="2"/>
      <c r="D59" s="2"/>
    </row>
    <row r="60" spans="1:4" ht="13.5" customHeight="1" x14ac:dyDescent="0.45">
      <c r="A60" s="21" t="s">
        <v>543</v>
      </c>
      <c r="B60" s="2" t="s">
        <v>98</v>
      </c>
      <c r="C60" s="2"/>
      <c r="D60" s="2"/>
    </row>
    <row r="61" spans="1:4" ht="13.5" customHeight="1" x14ac:dyDescent="0.45">
      <c r="A61" s="21" t="s">
        <v>73</v>
      </c>
      <c r="B61" s="2" t="s">
        <v>97</v>
      </c>
      <c r="C61" s="2"/>
      <c r="D61" s="2"/>
    </row>
    <row r="62" spans="1:4" ht="13.5" customHeight="1" x14ac:dyDescent="0.45">
      <c r="A62" s="21" t="s">
        <v>544</v>
      </c>
      <c r="B62" s="2" t="s">
        <v>21</v>
      </c>
      <c r="C62" s="2"/>
      <c r="D62" s="2"/>
    </row>
    <row r="64" spans="1:4" ht="15" customHeight="1" x14ac:dyDescent="0.45">
      <c r="A64" s="1" t="s">
        <v>548</v>
      </c>
      <c r="B64" s="1"/>
      <c r="C64" s="1"/>
      <c r="D64" s="1"/>
    </row>
    <row r="65" spans="1:4" ht="24" customHeight="1" x14ac:dyDescent="0.45">
      <c r="A65" s="21" t="s">
        <v>62</v>
      </c>
      <c r="B65" s="2" t="s">
        <v>120</v>
      </c>
      <c r="C65" s="2"/>
      <c r="D65" s="2"/>
    </row>
    <row r="66" spans="1:4" ht="13.5" customHeight="1" x14ac:dyDescent="0.45">
      <c r="A66" s="21" t="s">
        <v>63</v>
      </c>
      <c r="B66" s="2" t="s">
        <v>841</v>
      </c>
      <c r="C66" s="2"/>
      <c r="D66" s="2"/>
    </row>
    <row r="67" spans="1:4" ht="13.5" customHeight="1" x14ac:dyDescent="0.45">
      <c r="A67" s="21" t="s">
        <v>25</v>
      </c>
      <c r="B67" s="2" t="s">
        <v>842</v>
      </c>
      <c r="C67" s="2"/>
      <c r="D67" s="2"/>
    </row>
    <row r="68" spans="1:4" ht="24" customHeight="1" x14ac:dyDescent="0.45">
      <c r="A68" s="21" t="s">
        <v>64</v>
      </c>
      <c r="B68" s="2" t="s">
        <v>121</v>
      </c>
      <c r="C68" s="2"/>
      <c r="D68" s="2"/>
    </row>
    <row r="69" spans="1:4" ht="24" customHeight="1" x14ac:dyDescent="0.45">
      <c r="A69" s="21" t="s">
        <v>65</v>
      </c>
      <c r="B69" s="2" t="s">
        <v>122</v>
      </c>
      <c r="C69" s="2"/>
      <c r="D69" s="2"/>
    </row>
    <row r="70" spans="1:4" ht="13.5" customHeight="1" x14ac:dyDescent="0.45">
      <c r="A70" s="21" t="s">
        <v>66</v>
      </c>
      <c r="B70" s="2" t="s">
        <v>123</v>
      </c>
      <c r="C70" s="2"/>
      <c r="D70" s="2"/>
    </row>
    <row r="71" spans="1:4" ht="24" customHeight="1" x14ac:dyDescent="0.45">
      <c r="A71" s="21" t="s">
        <v>67</v>
      </c>
      <c r="B71" s="2" t="s">
        <v>843</v>
      </c>
      <c r="C71" s="2"/>
      <c r="D71" s="2"/>
    </row>
    <row r="72" spans="1:4" ht="13.5" customHeight="1" x14ac:dyDescent="0.45">
      <c r="A72" s="21" t="s">
        <v>68</v>
      </c>
      <c r="B72" s="2" t="s">
        <v>124</v>
      </c>
      <c r="C72" s="2"/>
      <c r="D72" s="2"/>
    </row>
    <row r="73" spans="1:4" ht="24" customHeight="1" x14ac:dyDescent="0.45">
      <c r="A73" s="21" t="s">
        <v>69</v>
      </c>
      <c r="B73" s="2" t="s">
        <v>125</v>
      </c>
      <c r="C73" s="2"/>
      <c r="D73" s="2"/>
    </row>
    <row r="74" spans="1:4" ht="13.5" customHeight="1" x14ac:dyDescent="0.45">
      <c r="A74" s="21" t="s">
        <v>70</v>
      </c>
      <c r="B74" s="2" t="s">
        <v>126</v>
      </c>
      <c r="C74" s="2"/>
      <c r="D74" s="2"/>
    </row>
    <row r="75" spans="1:4" ht="13.5" customHeight="1" x14ac:dyDescent="0.45">
      <c r="A75" s="21" t="s">
        <v>543</v>
      </c>
      <c r="B75" s="2" t="s">
        <v>86</v>
      </c>
      <c r="C75" s="2"/>
      <c r="D75" s="2"/>
    </row>
    <row r="76" spans="1:4" ht="13.5" customHeight="1" x14ac:dyDescent="0.45">
      <c r="A76" s="21" t="s">
        <v>73</v>
      </c>
      <c r="B76" s="2" t="s">
        <v>98</v>
      </c>
      <c r="C76" s="2"/>
      <c r="D76" s="2"/>
    </row>
    <row r="77" spans="1:4" ht="13.5" customHeight="1" x14ac:dyDescent="0.45">
      <c r="A77" s="21" t="s">
        <v>544</v>
      </c>
      <c r="B77" s="2" t="s">
        <v>21</v>
      </c>
      <c r="C77" s="2"/>
      <c r="D77" s="2"/>
    </row>
    <row r="79" spans="1:4" ht="15" customHeight="1" x14ac:dyDescent="0.45">
      <c r="A79" s="1" t="s">
        <v>549</v>
      </c>
      <c r="B79" s="1"/>
      <c r="C79" s="1"/>
      <c r="D79" s="1"/>
    </row>
    <row r="80" spans="1:4" ht="13.5" customHeight="1" x14ac:dyDescent="0.45">
      <c r="A80" s="21" t="s">
        <v>62</v>
      </c>
      <c r="B80" s="2" t="s">
        <v>844</v>
      </c>
      <c r="C80" s="2"/>
      <c r="D80" s="2"/>
    </row>
    <row r="81" spans="1:4" ht="24" customHeight="1" x14ac:dyDescent="0.45">
      <c r="A81" s="21" t="s">
        <v>63</v>
      </c>
      <c r="B81" s="2" t="s">
        <v>845</v>
      </c>
      <c r="C81" s="2"/>
      <c r="D81" s="2"/>
    </row>
    <row r="82" spans="1:4" ht="24" customHeight="1" x14ac:dyDescent="0.45">
      <c r="A82" s="21" t="s">
        <v>25</v>
      </c>
      <c r="B82" s="2" t="s">
        <v>129</v>
      </c>
      <c r="C82" s="2"/>
      <c r="D82" s="2"/>
    </row>
    <row r="83" spans="1:4" ht="24" customHeight="1" x14ac:dyDescent="0.45">
      <c r="A83" s="21" t="s">
        <v>64</v>
      </c>
      <c r="B83" s="2" t="s">
        <v>130</v>
      </c>
      <c r="C83" s="2"/>
      <c r="D83" s="2"/>
    </row>
    <row r="84" spans="1:4" ht="24" customHeight="1" x14ac:dyDescent="0.45">
      <c r="A84" s="21" t="s">
        <v>65</v>
      </c>
      <c r="B84" s="2" t="s">
        <v>131</v>
      </c>
      <c r="C84" s="2"/>
      <c r="D84" s="2"/>
    </row>
    <row r="85" spans="1:4" ht="13.5" customHeight="1" x14ac:dyDescent="0.45">
      <c r="A85" s="21" t="s">
        <v>66</v>
      </c>
      <c r="B85" s="2" t="s">
        <v>132</v>
      </c>
      <c r="C85" s="2"/>
      <c r="D85" s="2"/>
    </row>
    <row r="86" spans="1:4" ht="13.5" customHeight="1" x14ac:dyDescent="0.45">
      <c r="A86" s="21" t="s">
        <v>67</v>
      </c>
      <c r="B86" s="2" t="s">
        <v>846</v>
      </c>
      <c r="C86" s="2"/>
      <c r="D86" s="2"/>
    </row>
    <row r="87" spans="1:4" ht="13.5" customHeight="1" x14ac:dyDescent="0.45">
      <c r="A87" s="21" t="s">
        <v>68</v>
      </c>
      <c r="B87" s="2" t="s">
        <v>133</v>
      </c>
      <c r="C87" s="2"/>
      <c r="D87" s="2"/>
    </row>
    <row r="88" spans="1:4" ht="24" customHeight="1" x14ac:dyDescent="0.45">
      <c r="A88" s="21" t="s">
        <v>69</v>
      </c>
      <c r="B88" s="2" t="s">
        <v>134</v>
      </c>
      <c r="C88" s="2"/>
      <c r="D88" s="2"/>
    </row>
    <row r="89" spans="1:4" ht="13.5" customHeight="1" x14ac:dyDescent="0.45">
      <c r="A89" s="21" t="s">
        <v>70</v>
      </c>
      <c r="B89" s="2" t="s">
        <v>135</v>
      </c>
      <c r="C89" s="2"/>
      <c r="D89" s="2"/>
    </row>
    <row r="90" spans="1:4" ht="13.5" customHeight="1" x14ac:dyDescent="0.45">
      <c r="A90" s="21" t="s">
        <v>543</v>
      </c>
      <c r="B90" s="2" t="s">
        <v>86</v>
      </c>
      <c r="C90" s="2"/>
      <c r="D90" s="2"/>
    </row>
    <row r="91" spans="1:4" ht="13.5" customHeight="1" x14ac:dyDescent="0.45">
      <c r="A91" s="21" t="s">
        <v>73</v>
      </c>
      <c r="B91" s="2" t="s">
        <v>136</v>
      </c>
      <c r="C91" s="2"/>
      <c r="D91" s="2"/>
    </row>
    <row r="92" spans="1:4" ht="13.5" customHeight="1" x14ac:dyDescent="0.45">
      <c r="A92" s="21" t="s">
        <v>544</v>
      </c>
      <c r="B92" s="2" t="s">
        <v>21</v>
      </c>
      <c r="C92" s="2"/>
      <c r="D92" s="2"/>
    </row>
    <row r="94" spans="1:4" ht="15" customHeight="1" x14ac:dyDescent="0.45">
      <c r="A94" s="1" t="s">
        <v>550</v>
      </c>
      <c r="B94" s="1"/>
      <c r="C94" s="1"/>
      <c r="D94" s="1"/>
    </row>
    <row r="95" spans="1:4" ht="24" customHeight="1" x14ac:dyDescent="0.45">
      <c r="A95" s="21" t="s">
        <v>62</v>
      </c>
      <c r="B95" s="2" t="s">
        <v>847</v>
      </c>
      <c r="C95" s="2"/>
      <c r="D95" s="2"/>
    </row>
    <row r="96" spans="1:4" ht="24" customHeight="1" x14ac:dyDescent="0.45">
      <c r="A96" s="21" t="s">
        <v>63</v>
      </c>
      <c r="B96" s="2" t="s">
        <v>848</v>
      </c>
      <c r="C96" s="2"/>
      <c r="D96" s="2"/>
    </row>
    <row r="97" spans="1:4" ht="24" customHeight="1" x14ac:dyDescent="0.45">
      <c r="A97" s="21" t="s">
        <v>25</v>
      </c>
      <c r="B97" s="2" t="s">
        <v>139</v>
      </c>
      <c r="C97" s="2"/>
      <c r="D97" s="2"/>
    </row>
    <row r="98" spans="1:4" ht="24" customHeight="1" x14ac:dyDescent="0.45">
      <c r="A98" s="21" t="s">
        <v>64</v>
      </c>
      <c r="B98" s="2" t="s">
        <v>140</v>
      </c>
      <c r="C98" s="2"/>
      <c r="D98" s="2"/>
    </row>
    <row r="99" spans="1:4" ht="24" customHeight="1" x14ac:dyDescent="0.45">
      <c r="A99" s="21" t="s">
        <v>65</v>
      </c>
      <c r="B99" s="2" t="s">
        <v>849</v>
      </c>
      <c r="C99" s="2"/>
      <c r="D99" s="2"/>
    </row>
    <row r="100" spans="1:4" ht="13.5" customHeight="1" x14ac:dyDescent="0.45">
      <c r="A100" s="21" t="s">
        <v>66</v>
      </c>
      <c r="B100" s="2" t="s">
        <v>141</v>
      </c>
      <c r="C100" s="2"/>
      <c r="D100" s="2"/>
    </row>
    <row r="101" spans="1:4" ht="13.5" customHeight="1" x14ac:dyDescent="0.45">
      <c r="A101" s="21" t="s">
        <v>67</v>
      </c>
      <c r="B101" s="2" t="s">
        <v>850</v>
      </c>
      <c r="C101" s="2"/>
      <c r="D101" s="2"/>
    </row>
    <row r="102" spans="1:4" ht="13.5" customHeight="1" x14ac:dyDescent="0.45">
      <c r="A102" s="21" t="s">
        <v>68</v>
      </c>
      <c r="B102" s="2" t="s">
        <v>142</v>
      </c>
      <c r="C102" s="2"/>
      <c r="D102" s="2"/>
    </row>
    <row r="103" spans="1:4" ht="24" customHeight="1" x14ac:dyDescent="0.45">
      <c r="A103" s="21" t="s">
        <v>69</v>
      </c>
      <c r="B103" s="2" t="s">
        <v>143</v>
      </c>
      <c r="C103" s="2"/>
      <c r="D103" s="2"/>
    </row>
    <row r="104" spans="1:4" ht="13.5" customHeight="1" x14ac:dyDescent="0.45">
      <c r="A104" s="21" t="s">
        <v>70</v>
      </c>
      <c r="B104" s="2" t="s">
        <v>144</v>
      </c>
      <c r="C104" s="2"/>
      <c r="D104" s="2"/>
    </row>
    <row r="105" spans="1:4" ht="13.5" customHeight="1" x14ac:dyDescent="0.45">
      <c r="A105" s="21" t="s">
        <v>543</v>
      </c>
      <c r="B105" s="2" t="s">
        <v>98</v>
      </c>
      <c r="C105" s="2"/>
      <c r="D105" s="2"/>
    </row>
    <row r="106" spans="1:4" ht="13.5" customHeight="1" x14ac:dyDescent="0.45">
      <c r="A106" s="21" t="s">
        <v>73</v>
      </c>
      <c r="B106" s="2" t="s">
        <v>136</v>
      </c>
      <c r="C106" s="2"/>
      <c r="D106" s="2"/>
    </row>
    <row r="107" spans="1:4" ht="13.5" customHeight="1" x14ac:dyDescent="0.45">
      <c r="A107" s="21" t="s">
        <v>544</v>
      </c>
      <c r="B107" s="2" t="s">
        <v>22</v>
      </c>
      <c r="C107" s="2"/>
      <c r="D107" s="2"/>
    </row>
  </sheetData>
  <mergeCells count="100">
    <mergeCell ref="B103:D103"/>
    <mergeCell ref="B104:D104"/>
    <mergeCell ref="B105:D105"/>
    <mergeCell ref="B106:D106"/>
    <mergeCell ref="B107:D107"/>
    <mergeCell ref="B98:D98"/>
    <mergeCell ref="B99:D99"/>
    <mergeCell ref="B100:D100"/>
    <mergeCell ref="B101:D101"/>
    <mergeCell ref="B102:D102"/>
    <mergeCell ref="B92:D92"/>
    <mergeCell ref="A94:D94"/>
    <mergeCell ref="B95:D95"/>
    <mergeCell ref="B96:D96"/>
    <mergeCell ref="B97:D97"/>
    <mergeCell ref="B87:D87"/>
    <mergeCell ref="B88:D88"/>
    <mergeCell ref="B89:D89"/>
    <mergeCell ref="B90:D90"/>
    <mergeCell ref="B91:D91"/>
    <mergeCell ref="B82:D82"/>
    <mergeCell ref="B83:D83"/>
    <mergeCell ref="B84:D84"/>
    <mergeCell ref="B85:D85"/>
    <mergeCell ref="B86:D86"/>
    <mergeCell ref="B76:D76"/>
    <mergeCell ref="B77:D77"/>
    <mergeCell ref="A79:D79"/>
    <mergeCell ref="B80:D80"/>
    <mergeCell ref="B81:D81"/>
    <mergeCell ref="B71:D71"/>
    <mergeCell ref="B72:D72"/>
    <mergeCell ref="B73:D73"/>
    <mergeCell ref="B74:D74"/>
    <mergeCell ref="B75:D75"/>
    <mergeCell ref="B66:D66"/>
    <mergeCell ref="B67:D67"/>
    <mergeCell ref="B68:D68"/>
    <mergeCell ref="B69:D69"/>
    <mergeCell ref="B70:D70"/>
    <mergeCell ref="B60:D60"/>
    <mergeCell ref="B61:D61"/>
    <mergeCell ref="B62:D62"/>
    <mergeCell ref="A64:D64"/>
    <mergeCell ref="B65:D65"/>
    <mergeCell ref="B55:D55"/>
    <mergeCell ref="B56:D56"/>
    <mergeCell ref="B57:D57"/>
    <mergeCell ref="B58:D58"/>
    <mergeCell ref="B59:D59"/>
    <mergeCell ref="B50:D50"/>
    <mergeCell ref="B51:D51"/>
    <mergeCell ref="B52:D52"/>
    <mergeCell ref="B53:D53"/>
    <mergeCell ref="B54:D54"/>
    <mergeCell ref="B44:D44"/>
    <mergeCell ref="B45:D45"/>
    <mergeCell ref="B46:D46"/>
    <mergeCell ref="B47:D47"/>
    <mergeCell ref="A49:D49"/>
    <mergeCell ref="B39:D39"/>
    <mergeCell ref="B40:D40"/>
    <mergeCell ref="B41:D41"/>
    <mergeCell ref="B42:D42"/>
    <mergeCell ref="B43:D43"/>
    <mergeCell ref="A34:D34"/>
    <mergeCell ref="B35:D35"/>
    <mergeCell ref="B36:D36"/>
    <mergeCell ref="B37:D37"/>
    <mergeCell ref="B38:D38"/>
    <mergeCell ref="B28:D28"/>
    <mergeCell ref="B29:D29"/>
    <mergeCell ref="B30:D30"/>
    <mergeCell ref="B31:D31"/>
    <mergeCell ref="B32:D32"/>
    <mergeCell ref="B23:D23"/>
    <mergeCell ref="B24:D24"/>
    <mergeCell ref="B25:D25"/>
    <mergeCell ref="B26:D26"/>
    <mergeCell ref="B27:D27"/>
    <mergeCell ref="B17:D17"/>
    <mergeCell ref="A19:D19"/>
    <mergeCell ref="B20:D20"/>
    <mergeCell ref="B21:D21"/>
    <mergeCell ref="B22:D22"/>
    <mergeCell ref="B12:D12"/>
    <mergeCell ref="B13:D13"/>
    <mergeCell ref="B14:D14"/>
    <mergeCell ref="B15:D15"/>
    <mergeCell ref="B16:D16"/>
    <mergeCell ref="B7:D7"/>
    <mergeCell ref="B8:D8"/>
    <mergeCell ref="B9:D9"/>
    <mergeCell ref="B10:D10"/>
    <mergeCell ref="B11:D11"/>
    <mergeCell ref="A1:D1"/>
    <mergeCell ref="A2:D2"/>
    <mergeCell ref="A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2"/>
  <sheetViews>
    <sheetView showGridLines="0" zoomScaleNormal="100" workbookViewId="0">
      <selection sqref="A1:D1"/>
    </sheetView>
  </sheetViews>
  <sheetFormatPr defaultColWidth="8.6640625" defaultRowHeight="14.25" x14ac:dyDescent="0.45"/>
  <cols>
    <col min="1" max="1" width="22" customWidth="1"/>
    <col min="2" max="4" width="42" customWidth="1"/>
  </cols>
  <sheetData>
    <row r="1" spans="1:4" ht="20.65" x14ac:dyDescent="0.6">
      <c r="A1" s="7" t="s">
        <v>551</v>
      </c>
      <c r="B1" s="7"/>
      <c r="C1" s="7"/>
      <c r="D1" s="7"/>
    </row>
    <row r="2" spans="1:4" x14ac:dyDescent="0.45">
      <c r="A2" s="6"/>
      <c r="B2" s="6"/>
      <c r="C2" s="6"/>
      <c r="D2" s="6"/>
    </row>
    <row r="4" spans="1:4" ht="15" customHeight="1" x14ac:dyDescent="0.45">
      <c r="A4" s="1" t="s">
        <v>552</v>
      </c>
      <c r="B4" s="1"/>
      <c r="C4" s="1"/>
      <c r="D4" s="1"/>
    </row>
    <row r="5" spans="1:4" ht="13.5" customHeight="1" x14ac:dyDescent="0.45">
      <c r="A5" s="21" t="s">
        <v>62</v>
      </c>
      <c r="B5" s="2" t="s">
        <v>851</v>
      </c>
      <c r="C5" s="2"/>
      <c r="D5" s="2"/>
    </row>
    <row r="6" spans="1:4" ht="13.5" customHeight="1" x14ac:dyDescent="0.45">
      <c r="A6" s="21" t="s">
        <v>63</v>
      </c>
      <c r="B6" s="2" t="s">
        <v>147</v>
      </c>
      <c r="C6" s="2"/>
      <c r="D6" s="2"/>
    </row>
    <row r="7" spans="1:4" ht="13.5" customHeight="1" x14ac:dyDescent="0.45">
      <c r="A7" s="21" t="s">
        <v>25</v>
      </c>
      <c r="B7" s="2" t="s">
        <v>148</v>
      </c>
      <c r="C7" s="2"/>
      <c r="D7" s="2"/>
    </row>
    <row r="8" spans="1:4" ht="13.5" customHeight="1" x14ac:dyDescent="0.45">
      <c r="A8" s="21" t="s">
        <v>64</v>
      </c>
      <c r="B8" s="2" t="s">
        <v>149</v>
      </c>
      <c r="C8" s="2"/>
      <c r="D8" s="2"/>
    </row>
    <row r="9" spans="1:4" ht="13.5" customHeight="1" x14ac:dyDescent="0.45">
      <c r="A9" s="21" t="s">
        <v>65</v>
      </c>
      <c r="B9" s="2" t="s">
        <v>150</v>
      </c>
      <c r="C9" s="2"/>
      <c r="D9" s="2"/>
    </row>
    <row r="10" spans="1:4" ht="13.5" customHeight="1" x14ac:dyDescent="0.45">
      <c r="A10" s="21" t="s">
        <v>66</v>
      </c>
      <c r="B10" s="2" t="s">
        <v>151</v>
      </c>
      <c r="C10" s="2"/>
      <c r="D10" s="2"/>
    </row>
    <row r="11" spans="1:4" ht="24" customHeight="1" x14ac:dyDescent="0.45">
      <c r="A11" s="21" t="s">
        <v>67</v>
      </c>
      <c r="B11" s="2" t="s">
        <v>852</v>
      </c>
      <c r="C11" s="2"/>
      <c r="D11" s="2"/>
    </row>
    <row r="12" spans="1:4" ht="13.5" customHeight="1" x14ac:dyDescent="0.45">
      <c r="A12" s="21" t="s">
        <v>68</v>
      </c>
      <c r="B12" s="2" t="s">
        <v>152</v>
      </c>
      <c r="C12" s="2"/>
      <c r="D12" s="2"/>
    </row>
    <row r="13" spans="1:4" ht="24" customHeight="1" x14ac:dyDescent="0.45">
      <c r="A13" s="21" t="s">
        <v>69</v>
      </c>
      <c r="B13" s="2" t="s">
        <v>153</v>
      </c>
      <c r="C13" s="2"/>
      <c r="D13" s="2"/>
    </row>
    <row r="14" spans="1:4" ht="13.5" customHeight="1" x14ac:dyDescent="0.45">
      <c r="A14" s="21" t="s">
        <v>70</v>
      </c>
      <c r="B14" s="2" t="s">
        <v>154</v>
      </c>
      <c r="C14" s="2"/>
      <c r="D14" s="2"/>
    </row>
    <row r="15" spans="1:4" ht="13.5" customHeight="1" x14ac:dyDescent="0.45">
      <c r="A15" s="21" t="s">
        <v>543</v>
      </c>
      <c r="B15" s="2" t="s">
        <v>155</v>
      </c>
      <c r="C15" s="2"/>
      <c r="D15" s="2"/>
    </row>
    <row r="16" spans="1:4" ht="13.5" customHeight="1" x14ac:dyDescent="0.45">
      <c r="A16" s="21" t="s">
        <v>73</v>
      </c>
      <c r="B16" s="2" t="s">
        <v>97</v>
      </c>
      <c r="C16" s="2"/>
      <c r="D16" s="2"/>
    </row>
    <row r="17" spans="1:4" ht="13.5" customHeight="1" x14ac:dyDescent="0.45">
      <c r="A17" s="21" t="s">
        <v>544</v>
      </c>
      <c r="B17" s="2" t="s">
        <v>156</v>
      </c>
      <c r="C17" s="2"/>
      <c r="D17" s="2"/>
    </row>
    <row r="19" spans="1:4" ht="15" customHeight="1" x14ac:dyDescent="0.45">
      <c r="A19" s="1" t="s">
        <v>553</v>
      </c>
      <c r="B19" s="1"/>
      <c r="C19" s="1"/>
      <c r="D19" s="1"/>
    </row>
    <row r="20" spans="1:4" ht="24" customHeight="1" x14ac:dyDescent="0.45">
      <c r="A20" s="21" t="s">
        <v>62</v>
      </c>
      <c r="B20" s="2" t="s">
        <v>853</v>
      </c>
      <c r="C20" s="2"/>
      <c r="D20" s="2"/>
    </row>
    <row r="21" spans="1:4" ht="13.5" customHeight="1" x14ac:dyDescent="0.45">
      <c r="A21" s="21" t="s">
        <v>63</v>
      </c>
      <c r="B21" s="2" t="s">
        <v>159</v>
      </c>
      <c r="C21" s="2"/>
      <c r="D21" s="2"/>
    </row>
    <row r="22" spans="1:4" ht="13.5" customHeight="1" x14ac:dyDescent="0.45">
      <c r="A22" s="21" t="s">
        <v>25</v>
      </c>
      <c r="B22" s="2" t="s">
        <v>160</v>
      </c>
      <c r="C22" s="2"/>
      <c r="D22" s="2"/>
    </row>
    <row r="23" spans="1:4" ht="24" customHeight="1" x14ac:dyDescent="0.45">
      <c r="A23" s="21" t="s">
        <v>64</v>
      </c>
      <c r="B23" s="2" t="s">
        <v>161</v>
      </c>
      <c r="C23" s="2"/>
      <c r="D23" s="2"/>
    </row>
    <row r="24" spans="1:4" ht="13.5" customHeight="1" x14ac:dyDescent="0.45">
      <c r="A24" s="21" t="s">
        <v>65</v>
      </c>
      <c r="B24" s="2" t="s">
        <v>162</v>
      </c>
      <c r="C24" s="2"/>
      <c r="D24" s="2"/>
    </row>
    <row r="25" spans="1:4" ht="24" customHeight="1" x14ac:dyDescent="0.45">
      <c r="A25" s="21" t="s">
        <v>66</v>
      </c>
      <c r="B25" s="2" t="s">
        <v>163</v>
      </c>
      <c r="C25" s="2"/>
      <c r="D25" s="2"/>
    </row>
    <row r="26" spans="1:4" ht="13.5" customHeight="1" x14ac:dyDescent="0.45">
      <c r="A26" s="21" t="s">
        <v>67</v>
      </c>
      <c r="B26" s="2" t="s">
        <v>854</v>
      </c>
      <c r="C26" s="2"/>
      <c r="D26" s="2"/>
    </row>
    <row r="27" spans="1:4" ht="13.5" customHeight="1" x14ac:dyDescent="0.45">
      <c r="A27" s="21" t="s">
        <v>68</v>
      </c>
      <c r="B27" s="2" t="s">
        <v>164</v>
      </c>
      <c r="C27" s="2"/>
      <c r="D27" s="2"/>
    </row>
    <row r="28" spans="1:4" ht="13.5" customHeight="1" x14ac:dyDescent="0.45">
      <c r="A28" s="21" t="s">
        <v>69</v>
      </c>
      <c r="B28" s="2" t="s">
        <v>165</v>
      </c>
      <c r="C28" s="2"/>
      <c r="D28" s="2"/>
    </row>
    <row r="29" spans="1:4" ht="13.5" customHeight="1" x14ac:dyDescent="0.45">
      <c r="A29" s="21" t="s">
        <v>70</v>
      </c>
      <c r="B29" s="2" t="s">
        <v>166</v>
      </c>
      <c r="C29" s="2"/>
      <c r="D29" s="2"/>
    </row>
    <row r="30" spans="1:4" ht="13.5" customHeight="1" x14ac:dyDescent="0.45">
      <c r="A30" s="21" t="s">
        <v>543</v>
      </c>
      <c r="B30" s="2" t="s">
        <v>86</v>
      </c>
      <c r="C30" s="2"/>
      <c r="D30" s="2"/>
    </row>
    <row r="31" spans="1:4" ht="13.5" customHeight="1" x14ac:dyDescent="0.45">
      <c r="A31" s="21" t="s">
        <v>73</v>
      </c>
      <c r="B31" s="2" t="s">
        <v>97</v>
      </c>
      <c r="C31" s="2"/>
      <c r="D31" s="2"/>
    </row>
    <row r="32" spans="1:4" ht="13.5" customHeight="1" x14ac:dyDescent="0.45">
      <c r="A32" s="21" t="s">
        <v>544</v>
      </c>
      <c r="B32" s="2" t="s">
        <v>156</v>
      </c>
      <c r="C32" s="2"/>
      <c r="D32" s="2"/>
    </row>
    <row r="34" spans="1:4" ht="15" customHeight="1" x14ac:dyDescent="0.45">
      <c r="A34" s="1" t="s">
        <v>554</v>
      </c>
      <c r="B34" s="1"/>
      <c r="C34" s="1"/>
      <c r="D34" s="1"/>
    </row>
    <row r="35" spans="1:4" ht="13.5" customHeight="1" x14ac:dyDescent="0.45">
      <c r="A35" s="21" t="s">
        <v>62</v>
      </c>
      <c r="B35" s="2" t="s">
        <v>855</v>
      </c>
      <c r="C35" s="2"/>
      <c r="D35" s="2"/>
    </row>
    <row r="36" spans="1:4" ht="13.5" customHeight="1" x14ac:dyDescent="0.45">
      <c r="A36" s="21" t="s">
        <v>63</v>
      </c>
      <c r="B36" s="2" t="s">
        <v>169</v>
      </c>
      <c r="C36" s="2"/>
      <c r="D36" s="2"/>
    </row>
    <row r="37" spans="1:4" ht="13.5" customHeight="1" x14ac:dyDescent="0.45">
      <c r="A37" s="21" t="s">
        <v>25</v>
      </c>
      <c r="B37" s="2" t="s">
        <v>170</v>
      </c>
      <c r="C37" s="2"/>
      <c r="D37" s="2"/>
    </row>
    <row r="38" spans="1:4" ht="24" customHeight="1" x14ac:dyDescent="0.45">
      <c r="A38" s="21" t="s">
        <v>64</v>
      </c>
      <c r="B38" s="2" t="s">
        <v>171</v>
      </c>
      <c r="C38" s="2"/>
      <c r="D38" s="2"/>
    </row>
    <row r="39" spans="1:4" ht="24" customHeight="1" x14ac:dyDescent="0.45">
      <c r="A39" s="21" t="s">
        <v>65</v>
      </c>
      <c r="B39" s="2" t="s">
        <v>172</v>
      </c>
      <c r="C39" s="2"/>
      <c r="D39" s="2"/>
    </row>
    <row r="40" spans="1:4" ht="13.5" customHeight="1" x14ac:dyDescent="0.45">
      <c r="A40" s="21" t="s">
        <v>66</v>
      </c>
      <c r="B40" s="2" t="s">
        <v>173</v>
      </c>
      <c r="C40" s="2"/>
      <c r="D40" s="2"/>
    </row>
    <row r="41" spans="1:4" ht="13.5" customHeight="1" x14ac:dyDescent="0.45">
      <c r="A41" s="21" t="s">
        <v>67</v>
      </c>
      <c r="B41" s="2" t="s">
        <v>856</v>
      </c>
      <c r="C41" s="2"/>
      <c r="D41" s="2"/>
    </row>
    <row r="42" spans="1:4" ht="13.5" customHeight="1" x14ac:dyDescent="0.45">
      <c r="A42" s="21" t="s">
        <v>68</v>
      </c>
      <c r="B42" s="2" t="s">
        <v>174</v>
      </c>
      <c r="C42" s="2"/>
      <c r="D42" s="2"/>
    </row>
    <row r="43" spans="1:4" ht="13.5" customHeight="1" x14ac:dyDescent="0.45">
      <c r="A43" s="21" t="s">
        <v>69</v>
      </c>
      <c r="B43" s="2" t="s">
        <v>175</v>
      </c>
      <c r="C43" s="2"/>
      <c r="D43" s="2"/>
    </row>
    <row r="44" spans="1:4" ht="13.5" customHeight="1" x14ac:dyDescent="0.45">
      <c r="A44" s="21" t="s">
        <v>70</v>
      </c>
      <c r="B44" s="2" t="s">
        <v>176</v>
      </c>
      <c r="C44" s="2"/>
      <c r="D44" s="2"/>
    </row>
    <row r="45" spans="1:4" ht="13.5" customHeight="1" x14ac:dyDescent="0.45">
      <c r="A45" s="21" t="s">
        <v>543</v>
      </c>
      <c r="B45" s="2" t="s">
        <v>177</v>
      </c>
      <c r="C45" s="2"/>
      <c r="D45" s="2"/>
    </row>
    <row r="46" spans="1:4" ht="13.5" customHeight="1" x14ac:dyDescent="0.45">
      <c r="A46" s="21" t="s">
        <v>73</v>
      </c>
      <c r="B46" s="2" t="s">
        <v>97</v>
      </c>
      <c r="C46" s="2"/>
      <c r="D46" s="2"/>
    </row>
    <row r="47" spans="1:4" ht="13.5" customHeight="1" x14ac:dyDescent="0.45">
      <c r="A47" s="21" t="s">
        <v>544</v>
      </c>
      <c r="B47" s="2" t="s">
        <v>156</v>
      </c>
      <c r="C47" s="2"/>
      <c r="D47" s="2"/>
    </row>
    <row r="49" spans="1:4" ht="15" customHeight="1" x14ac:dyDescent="0.45">
      <c r="A49" s="1" t="s">
        <v>555</v>
      </c>
      <c r="B49" s="1"/>
      <c r="C49" s="1"/>
      <c r="D49" s="1"/>
    </row>
    <row r="50" spans="1:4" ht="13.5" customHeight="1" x14ac:dyDescent="0.45">
      <c r="A50" s="21" t="s">
        <v>62</v>
      </c>
      <c r="B50" s="2" t="s">
        <v>857</v>
      </c>
      <c r="C50" s="2"/>
      <c r="D50" s="2"/>
    </row>
    <row r="51" spans="1:4" ht="13.5" customHeight="1" x14ac:dyDescent="0.45">
      <c r="A51" s="21" t="s">
        <v>63</v>
      </c>
      <c r="B51" s="2" t="s">
        <v>180</v>
      </c>
      <c r="C51" s="2"/>
      <c r="D51" s="2"/>
    </row>
    <row r="52" spans="1:4" ht="13.5" customHeight="1" x14ac:dyDescent="0.45">
      <c r="A52" s="21" t="s">
        <v>25</v>
      </c>
      <c r="B52" s="2" t="s">
        <v>181</v>
      </c>
      <c r="C52" s="2"/>
      <c r="D52" s="2"/>
    </row>
    <row r="53" spans="1:4" ht="24" customHeight="1" x14ac:dyDescent="0.45">
      <c r="A53" s="21" t="s">
        <v>64</v>
      </c>
      <c r="B53" s="2" t="s">
        <v>182</v>
      </c>
      <c r="C53" s="2"/>
      <c r="D53" s="2"/>
    </row>
    <row r="54" spans="1:4" ht="13.5" customHeight="1" x14ac:dyDescent="0.45">
      <c r="A54" s="21" t="s">
        <v>65</v>
      </c>
      <c r="B54" s="2" t="s">
        <v>183</v>
      </c>
      <c r="C54" s="2"/>
      <c r="D54" s="2"/>
    </row>
    <row r="55" spans="1:4" ht="13.5" customHeight="1" x14ac:dyDescent="0.45">
      <c r="A55" s="21" t="s">
        <v>66</v>
      </c>
      <c r="B55" s="2" t="s">
        <v>184</v>
      </c>
      <c r="C55" s="2"/>
      <c r="D55" s="2"/>
    </row>
    <row r="56" spans="1:4" ht="24" customHeight="1" x14ac:dyDescent="0.45">
      <c r="A56" s="21" t="s">
        <v>67</v>
      </c>
      <c r="B56" s="2" t="s">
        <v>858</v>
      </c>
      <c r="C56" s="2"/>
      <c r="D56" s="2"/>
    </row>
    <row r="57" spans="1:4" ht="13.5" customHeight="1" x14ac:dyDescent="0.45">
      <c r="A57" s="21" t="s">
        <v>68</v>
      </c>
      <c r="B57" s="2" t="s">
        <v>185</v>
      </c>
      <c r="C57" s="2"/>
      <c r="D57" s="2"/>
    </row>
    <row r="58" spans="1:4" ht="13.5" customHeight="1" x14ac:dyDescent="0.45">
      <c r="A58" s="21" t="s">
        <v>69</v>
      </c>
      <c r="B58" s="2" t="s">
        <v>186</v>
      </c>
      <c r="C58" s="2"/>
      <c r="D58" s="2"/>
    </row>
    <row r="59" spans="1:4" ht="13.5" customHeight="1" x14ac:dyDescent="0.45">
      <c r="A59" s="21" t="s">
        <v>70</v>
      </c>
      <c r="B59" s="2" t="s">
        <v>187</v>
      </c>
      <c r="C59" s="2"/>
      <c r="D59" s="2"/>
    </row>
    <row r="60" spans="1:4" ht="13.5" customHeight="1" x14ac:dyDescent="0.45">
      <c r="A60" s="21" t="s">
        <v>543</v>
      </c>
      <c r="B60" s="2" t="s">
        <v>155</v>
      </c>
      <c r="C60" s="2"/>
      <c r="D60" s="2"/>
    </row>
    <row r="61" spans="1:4" ht="13.5" customHeight="1" x14ac:dyDescent="0.45">
      <c r="A61" s="21" t="s">
        <v>73</v>
      </c>
      <c r="B61" s="2" t="s">
        <v>86</v>
      </c>
      <c r="C61" s="2"/>
      <c r="D61" s="2"/>
    </row>
    <row r="62" spans="1:4" ht="13.5" customHeight="1" x14ac:dyDescent="0.45">
      <c r="A62" s="21" t="s">
        <v>544</v>
      </c>
      <c r="B62" s="2" t="s">
        <v>156</v>
      </c>
      <c r="C62" s="2"/>
      <c r="D62" s="2"/>
    </row>
    <row r="64" spans="1:4" ht="15" customHeight="1" x14ac:dyDescent="0.45">
      <c r="A64" s="1" t="s">
        <v>556</v>
      </c>
      <c r="B64" s="1"/>
      <c r="C64" s="1"/>
      <c r="D64" s="1"/>
    </row>
    <row r="65" spans="1:4" ht="13.5" customHeight="1" x14ac:dyDescent="0.45">
      <c r="A65" s="21" t="s">
        <v>62</v>
      </c>
      <c r="B65" s="2" t="s">
        <v>859</v>
      </c>
      <c r="C65" s="2"/>
      <c r="D65" s="2"/>
    </row>
    <row r="66" spans="1:4" ht="13.5" customHeight="1" x14ac:dyDescent="0.45">
      <c r="A66" s="21" t="s">
        <v>63</v>
      </c>
      <c r="B66" s="2" t="s">
        <v>190</v>
      </c>
      <c r="C66" s="2"/>
      <c r="D66" s="2"/>
    </row>
    <row r="67" spans="1:4" ht="13.5" customHeight="1" x14ac:dyDescent="0.45">
      <c r="A67" s="21" t="s">
        <v>25</v>
      </c>
      <c r="B67" s="2" t="s">
        <v>191</v>
      </c>
      <c r="C67" s="2"/>
      <c r="D67" s="2"/>
    </row>
    <row r="68" spans="1:4" ht="24" customHeight="1" x14ac:dyDescent="0.45">
      <c r="A68" s="21" t="s">
        <v>64</v>
      </c>
      <c r="B68" s="2" t="s">
        <v>192</v>
      </c>
      <c r="C68" s="2"/>
      <c r="D68" s="2"/>
    </row>
    <row r="69" spans="1:4" ht="24" customHeight="1" x14ac:dyDescent="0.45">
      <c r="A69" s="21" t="s">
        <v>65</v>
      </c>
      <c r="B69" s="2" t="s">
        <v>193</v>
      </c>
      <c r="C69" s="2"/>
      <c r="D69" s="2"/>
    </row>
    <row r="70" spans="1:4" ht="24" customHeight="1" x14ac:dyDescent="0.45">
      <c r="A70" s="21" t="s">
        <v>66</v>
      </c>
      <c r="B70" s="2" t="s">
        <v>194</v>
      </c>
      <c r="C70" s="2"/>
      <c r="D70" s="2"/>
    </row>
    <row r="71" spans="1:4" ht="13.5" customHeight="1" x14ac:dyDescent="0.45">
      <c r="A71" s="21" t="s">
        <v>67</v>
      </c>
      <c r="B71" s="2" t="s">
        <v>860</v>
      </c>
      <c r="C71" s="2"/>
      <c r="D71" s="2"/>
    </row>
    <row r="72" spans="1:4" ht="13.5" customHeight="1" x14ac:dyDescent="0.45">
      <c r="A72" s="21" t="s">
        <v>68</v>
      </c>
      <c r="B72" s="2" t="s">
        <v>195</v>
      </c>
      <c r="C72" s="2"/>
      <c r="D72" s="2"/>
    </row>
    <row r="73" spans="1:4" ht="13.5" customHeight="1" x14ac:dyDescent="0.45">
      <c r="A73" s="21" t="s">
        <v>69</v>
      </c>
      <c r="B73" s="2" t="s">
        <v>196</v>
      </c>
      <c r="C73" s="2"/>
      <c r="D73" s="2"/>
    </row>
    <row r="74" spans="1:4" ht="13.5" customHeight="1" x14ac:dyDescent="0.45">
      <c r="A74" s="21" t="s">
        <v>70</v>
      </c>
      <c r="B74" s="2" t="s">
        <v>197</v>
      </c>
      <c r="C74" s="2"/>
      <c r="D74" s="2"/>
    </row>
    <row r="75" spans="1:4" ht="13.5" customHeight="1" x14ac:dyDescent="0.45">
      <c r="A75" s="21" t="s">
        <v>543</v>
      </c>
      <c r="B75" s="2" t="s">
        <v>97</v>
      </c>
      <c r="C75" s="2"/>
      <c r="D75" s="2"/>
    </row>
    <row r="76" spans="1:4" ht="13.5" customHeight="1" x14ac:dyDescent="0.45">
      <c r="A76" s="21" t="s">
        <v>73</v>
      </c>
      <c r="B76" s="2" t="s">
        <v>97</v>
      </c>
      <c r="C76" s="2"/>
      <c r="D76" s="2"/>
    </row>
    <row r="77" spans="1:4" ht="13.5" customHeight="1" x14ac:dyDescent="0.45">
      <c r="A77" s="21" t="s">
        <v>544</v>
      </c>
      <c r="B77" s="2" t="s">
        <v>21</v>
      </c>
      <c r="C77" s="2"/>
      <c r="D77" s="2"/>
    </row>
    <row r="79" spans="1:4" ht="15" customHeight="1" x14ac:dyDescent="0.45">
      <c r="A79" s="1" t="s">
        <v>557</v>
      </c>
      <c r="B79" s="1"/>
      <c r="C79" s="1"/>
      <c r="D79" s="1"/>
    </row>
    <row r="80" spans="1:4" ht="13.5" customHeight="1" x14ac:dyDescent="0.45">
      <c r="A80" s="21" t="s">
        <v>62</v>
      </c>
      <c r="B80" s="2" t="s">
        <v>861</v>
      </c>
      <c r="C80" s="2"/>
      <c r="D80" s="2"/>
    </row>
    <row r="81" spans="1:4" ht="13.5" customHeight="1" x14ac:dyDescent="0.45">
      <c r="A81" s="21" t="s">
        <v>63</v>
      </c>
      <c r="B81" s="2" t="s">
        <v>200</v>
      </c>
      <c r="C81" s="2"/>
      <c r="D81" s="2"/>
    </row>
    <row r="82" spans="1:4" ht="13.5" customHeight="1" x14ac:dyDescent="0.45">
      <c r="A82" s="21" t="s">
        <v>25</v>
      </c>
      <c r="B82" s="2" t="s">
        <v>201</v>
      </c>
      <c r="C82" s="2"/>
      <c r="D82" s="2"/>
    </row>
    <row r="83" spans="1:4" ht="24" customHeight="1" x14ac:dyDescent="0.45">
      <c r="A83" s="21" t="s">
        <v>64</v>
      </c>
      <c r="B83" s="2" t="s">
        <v>202</v>
      </c>
      <c r="C83" s="2"/>
      <c r="D83" s="2"/>
    </row>
    <row r="84" spans="1:4" ht="13.5" customHeight="1" x14ac:dyDescent="0.45">
      <c r="A84" s="21" t="s">
        <v>65</v>
      </c>
      <c r="B84" s="2" t="s">
        <v>203</v>
      </c>
      <c r="C84" s="2"/>
      <c r="D84" s="2"/>
    </row>
    <row r="85" spans="1:4" ht="24" customHeight="1" x14ac:dyDescent="0.45">
      <c r="A85" s="21" t="s">
        <v>66</v>
      </c>
      <c r="B85" s="2" t="s">
        <v>204</v>
      </c>
      <c r="C85" s="2"/>
      <c r="D85" s="2"/>
    </row>
    <row r="86" spans="1:4" ht="13.5" customHeight="1" x14ac:dyDescent="0.45">
      <c r="A86" s="21" t="s">
        <v>67</v>
      </c>
      <c r="B86" s="2" t="s">
        <v>862</v>
      </c>
      <c r="C86" s="2"/>
      <c r="D86" s="2"/>
    </row>
    <row r="87" spans="1:4" ht="13.5" customHeight="1" x14ac:dyDescent="0.45">
      <c r="A87" s="21" t="s">
        <v>68</v>
      </c>
      <c r="B87" s="2" t="s">
        <v>205</v>
      </c>
      <c r="C87" s="2"/>
      <c r="D87" s="2"/>
    </row>
    <row r="88" spans="1:4" ht="24" customHeight="1" x14ac:dyDescent="0.45">
      <c r="A88" s="21" t="s">
        <v>69</v>
      </c>
      <c r="B88" s="2" t="s">
        <v>206</v>
      </c>
      <c r="C88" s="2"/>
      <c r="D88" s="2"/>
    </row>
    <row r="89" spans="1:4" ht="13.5" customHeight="1" x14ac:dyDescent="0.45">
      <c r="A89" s="21" t="s">
        <v>70</v>
      </c>
      <c r="B89" s="2" t="s">
        <v>207</v>
      </c>
      <c r="C89" s="2"/>
      <c r="D89" s="2"/>
    </row>
    <row r="90" spans="1:4" ht="13.5" customHeight="1" x14ac:dyDescent="0.45">
      <c r="A90" s="21" t="s">
        <v>543</v>
      </c>
      <c r="B90" s="2" t="s">
        <v>86</v>
      </c>
      <c r="C90" s="2"/>
      <c r="D90" s="2"/>
    </row>
    <row r="91" spans="1:4" ht="13.5" customHeight="1" x14ac:dyDescent="0.45">
      <c r="A91" s="21" t="s">
        <v>73</v>
      </c>
      <c r="B91" s="2" t="s">
        <v>97</v>
      </c>
      <c r="C91" s="2"/>
      <c r="D91" s="2"/>
    </row>
    <row r="92" spans="1:4" ht="13.5" customHeight="1" x14ac:dyDescent="0.45">
      <c r="A92" s="21" t="s">
        <v>544</v>
      </c>
      <c r="B92" s="2" t="s">
        <v>21</v>
      </c>
      <c r="C92" s="2"/>
      <c r="D92" s="2"/>
    </row>
    <row r="94" spans="1:4" ht="15" customHeight="1" x14ac:dyDescent="0.45">
      <c r="A94" s="1" t="s">
        <v>558</v>
      </c>
      <c r="B94" s="1"/>
      <c r="C94" s="1"/>
      <c r="D94" s="1"/>
    </row>
    <row r="95" spans="1:4" ht="13.5" customHeight="1" x14ac:dyDescent="0.45">
      <c r="A95" s="21" t="s">
        <v>62</v>
      </c>
      <c r="B95" s="2" t="s">
        <v>210</v>
      </c>
      <c r="C95" s="2"/>
      <c r="D95" s="2"/>
    </row>
    <row r="96" spans="1:4" ht="24" customHeight="1" x14ac:dyDescent="0.45">
      <c r="A96" s="21" t="s">
        <v>63</v>
      </c>
      <c r="B96" s="2" t="s">
        <v>211</v>
      </c>
      <c r="C96" s="2"/>
      <c r="D96" s="2"/>
    </row>
    <row r="97" spans="1:4" ht="13.5" customHeight="1" x14ac:dyDescent="0.45">
      <c r="A97" s="21" t="s">
        <v>25</v>
      </c>
      <c r="B97" s="2" t="s">
        <v>212</v>
      </c>
      <c r="C97" s="2"/>
      <c r="D97" s="2"/>
    </row>
    <row r="98" spans="1:4" ht="24" customHeight="1" x14ac:dyDescent="0.45">
      <c r="A98" s="21" t="s">
        <v>64</v>
      </c>
      <c r="B98" s="2" t="s">
        <v>213</v>
      </c>
      <c r="C98" s="2"/>
      <c r="D98" s="2"/>
    </row>
    <row r="99" spans="1:4" ht="24" customHeight="1" x14ac:dyDescent="0.45">
      <c r="A99" s="21" t="s">
        <v>65</v>
      </c>
      <c r="B99" s="2" t="s">
        <v>214</v>
      </c>
      <c r="C99" s="2"/>
      <c r="D99" s="2"/>
    </row>
    <row r="100" spans="1:4" ht="13.5" customHeight="1" x14ac:dyDescent="0.45">
      <c r="A100" s="21" t="s">
        <v>66</v>
      </c>
      <c r="B100" s="2" t="s">
        <v>215</v>
      </c>
      <c r="C100" s="2"/>
      <c r="D100" s="2"/>
    </row>
    <row r="101" spans="1:4" ht="24" customHeight="1" x14ac:dyDescent="0.45">
      <c r="A101" s="21" t="s">
        <v>67</v>
      </c>
      <c r="B101" s="2" t="s">
        <v>216</v>
      </c>
      <c r="C101" s="2"/>
      <c r="D101" s="2"/>
    </row>
    <row r="102" spans="1:4" ht="13.5" customHeight="1" x14ac:dyDescent="0.45">
      <c r="A102" s="21" t="s">
        <v>68</v>
      </c>
      <c r="B102" s="2" t="s">
        <v>217</v>
      </c>
      <c r="C102" s="2"/>
      <c r="D102" s="2"/>
    </row>
    <row r="103" spans="1:4" ht="13.5" customHeight="1" x14ac:dyDescent="0.45">
      <c r="A103" s="21" t="s">
        <v>69</v>
      </c>
      <c r="B103" s="2" t="s">
        <v>218</v>
      </c>
      <c r="C103" s="2"/>
      <c r="D103" s="2"/>
    </row>
    <row r="104" spans="1:4" ht="13.5" customHeight="1" x14ac:dyDescent="0.45">
      <c r="A104" s="21" t="s">
        <v>70</v>
      </c>
      <c r="B104" s="2" t="s">
        <v>219</v>
      </c>
      <c r="C104" s="2"/>
      <c r="D104" s="2"/>
    </row>
    <row r="105" spans="1:4" ht="13.5" customHeight="1" x14ac:dyDescent="0.45">
      <c r="A105" s="21" t="s">
        <v>543</v>
      </c>
      <c r="B105" s="2" t="s">
        <v>177</v>
      </c>
      <c r="C105" s="2"/>
      <c r="D105" s="2"/>
    </row>
    <row r="106" spans="1:4" ht="13.5" customHeight="1" x14ac:dyDescent="0.45">
      <c r="A106" s="21" t="s">
        <v>73</v>
      </c>
      <c r="B106" s="2" t="s">
        <v>97</v>
      </c>
      <c r="C106" s="2"/>
      <c r="D106" s="2"/>
    </row>
    <row r="107" spans="1:4" ht="13.5" customHeight="1" x14ac:dyDescent="0.45">
      <c r="A107" s="21" t="s">
        <v>544</v>
      </c>
      <c r="B107" s="2" t="s">
        <v>156</v>
      </c>
      <c r="C107" s="2"/>
      <c r="D107" s="2"/>
    </row>
    <row r="109" spans="1:4" ht="15" customHeight="1" x14ac:dyDescent="0.45">
      <c r="A109" s="1" t="s">
        <v>559</v>
      </c>
      <c r="B109" s="1"/>
      <c r="C109" s="1"/>
      <c r="D109" s="1"/>
    </row>
    <row r="110" spans="1:4" ht="13.5" customHeight="1" x14ac:dyDescent="0.45">
      <c r="A110" s="21" t="s">
        <v>62</v>
      </c>
      <c r="B110" s="2" t="s">
        <v>222</v>
      </c>
      <c r="C110" s="2"/>
      <c r="D110" s="2"/>
    </row>
    <row r="111" spans="1:4" ht="24" customHeight="1" x14ac:dyDescent="0.45">
      <c r="A111" s="21" t="s">
        <v>63</v>
      </c>
      <c r="B111" s="2" t="s">
        <v>223</v>
      </c>
      <c r="C111" s="2"/>
      <c r="D111" s="2"/>
    </row>
    <row r="112" spans="1:4" ht="13.5" customHeight="1" x14ac:dyDescent="0.45">
      <c r="A112" s="21" t="s">
        <v>25</v>
      </c>
      <c r="B112" s="2" t="s">
        <v>224</v>
      </c>
      <c r="C112" s="2"/>
      <c r="D112" s="2"/>
    </row>
    <row r="113" spans="1:4" ht="13.5" customHeight="1" x14ac:dyDescent="0.45">
      <c r="A113" s="21" t="s">
        <v>64</v>
      </c>
      <c r="B113" s="2" t="s">
        <v>225</v>
      </c>
      <c r="C113" s="2"/>
      <c r="D113" s="2"/>
    </row>
    <row r="114" spans="1:4" ht="24" customHeight="1" x14ac:dyDescent="0.45">
      <c r="A114" s="21" t="s">
        <v>65</v>
      </c>
      <c r="B114" s="2" t="s">
        <v>226</v>
      </c>
      <c r="C114" s="2"/>
      <c r="D114" s="2"/>
    </row>
    <row r="115" spans="1:4" ht="13.5" customHeight="1" x14ac:dyDescent="0.45">
      <c r="A115" s="21" t="s">
        <v>66</v>
      </c>
      <c r="B115" s="2" t="s">
        <v>227</v>
      </c>
      <c r="C115" s="2"/>
      <c r="D115" s="2"/>
    </row>
    <row r="116" spans="1:4" ht="13.5" customHeight="1" x14ac:dyDescent="0.45">
      <c r="A116" s="21" t="s">
        <v>67</v>
      </c>
      <c r="B116" s="2" t="s">
        <v>228</v>
      </c>
      <c r="C116" s="2"/>
      <c r="D116" s="2"/>
    </row>
    <row r="117" spans="1:4" ht="24" customHeight="1" x14ac:dyDescent="0.45">
      <c r="A117" s="21" t="s">
        <v>68</v>
      </c>
      <c r="B117" s="2" t="s">
        <v>229</v>
      </c>
      <c r="C117" s="2"/>
      <c r="D117" s="2"/>
    </row>
    <row r="118" spans="1:4" ht="24" customHeight="1" x14ac:dyDescent="0.45">
      <c r="A118" s="21" t="s">
        <v>69</v>
      </c>
      <c r="B118" s="2" t="s">
        <v>230</v>
      </c>
      <c r="C118" s="2"/>
      <c r="D118" s="2"/>
    </row>
    <row r="119" spans="1:4" ht="13.5" customHeight="1" x14ac:dyDescent="0.45">
      <c r="A119" s="21" t="s">
        <v>70</v>
      </c>
      <c r="B119" s="2" t="s">
        <v>231</v>
      </c>
      <c r="C119" s="2"/>
      <c r="D119" s="2"/>
    </row>
    <row r="120" spans="1:4" ht="13.5" customHeight="1" x14ac:dyDescent="0.45">
      <c r="A120" s="21" t="s">
        <v>543</v>
      </c>
      <c r="B120" s="2" t="s">
        <v>86</v>
      </c>
      <c r="C120" s="2"/>
      <c r="D120" s="2"/>
    </row>
    <row r="121" spans="1:4" ht="13.5" customHeight="1" x14ac:dyDescent="0.45">
      <c r="A121" s="21" t="s">
        <v>73</v>
      </c>
      <c r="B121" s="2" t="s">
        <v>86</v>
      </c>
      <c r="C121" s="2"/>
      <c r="D121" s="2"/>
    </row>
    <row r="122" spans="1:4" ht="13.5" customHeight="1" x14ac:dyDescent="0.45">
      <c r="A122" s="21" t="s">
        <v>544</v>
      </c>
      <c r="B122" s="2" t="s">
        <v>22</v>
      </c>
      <c r="C122" s="2"/>
      <c r="D122" s="2"/>
    </row>
    <row r="124" spans="1:4" ht="15" customHeight="1" x14ac:dyDescent="0.45">
      <c r="A124" s="1" t="s">
        <v>560</v>
      </c>
      <c r="B124" s="1"/>
      <c r="C124" s="1"/>
      <c r="D124" s="1"/>
    </row>
    <row r="125" spans="1:4" ht="13.5" customHeight="1" x14ac:dyDescent="0.45">
      <c r="A125" s="21" t="s">
        <v>62</v>
      </c>
      <c r="B125" s="2" t="s">
        <v>863</v>
      </c>
      <c r="C125" s="2"/>
      <c r="D125" s="2"/>
    </row>
    <row r="126" spans="1:4" ht="13.5" customHeight="1" x14ac:dyDescent="0.45">
      <c r="A126" s="21" t="s">
        <v>63</v>
      </c>
      <c r="B126" s="2" t="s">
        <v>234</v>
      </c>
      <c r="C126" s="2"/>
      <c r="D126" s="2"/>
    </row>
    <row r="127" spans="1:4" ht="13.5" customHeight="1" x14ac:dyDescent="0.45">
      <c r="A127" s="21" t="s">
        <v>25</v>
      </c>
      <c r="B127" s="2" t="s">
        <v>235</v>
      </c>
      <c r="C127" s="2"/>
      <c r="D127" s="2"/>
    </row>
    <row r="128" spans="1:4" ht="24" customHeight="1" x14ac:dyDescent="0.45">
      <c r="A128" s="21" t="s">
        <v>64</v>
      </c>
      <c r="B128" s="2" t="s">
        <v>236</v>
      </c>
      <c r="C128" s="2"/>
      <c r="D128" s="2"/>
    </row>
    <row r="129" spans="1:4" ht="24" customHeight="1" x14ac:dyDescent="0.45">
      <c r="A129" s="21" t="s">
        <v>65</v>
      </c>
      <c r="B129" s="2" t="s">
        <v>237</v>
      </c>
      <c r="C129" s="2"/>
      <c r="D129" s="2"/>
    </row>
    <row r="130" spans="1:4" ht="13.5" customHeight="1" x14ac:dyDescent="0.45">
      <c r="A130" s="21" t="s">
        <v>66</v>
      </c>
      <c r="B130" s="2" t="s">
        <v>238</v>
      </c>
      <c r="C130" s="2"/>
      <c r="D130" s="2"/>
    </row>
    <row r="131" spans="1:4" ht="13.5" customHeight="1" x14ac:dyDescent="0.45">
      <c r="A131" s="21" t="s">
        <v>67</v>
      </c>
      <c r="B131" s="2" t="s">
        <v>864</v>
      </c>
      <c r="C131" s="2"/>
      <c r="D131" s="2"/>
    </row>
    <row r="132" spans="1:4" ht="13.5" customHeight="1" x14ac:dyDescent="0.45">
      <c r="A132" s="21" t="s">
        <v>68</v>
      </c>
      <c r="B132" s="2" t="s">
        <v>239</v>
      </c>
      <c r="C132" s="2"/>
      <c r="D132" s="2"/>
    </row>
    <row r="133" spans="1:4" ht="13.5" customHeight="1" x14ac:dyDescent="0.45">
      <c r="A133" s="21" t="s">
        <v>69</v>
      </c>
      <c r="B133" s="2" t="s">
        <v>240</v>
      </c>
      <c r="C133" s="2"/>
      <c r="D133" s="2"/>
    </row>
    <row r="134" spans="1:4" ht="13.5" customHeight="1" x14ac:dyDescent="0.45">
      <c r="A134" s="21" t="s">
        <v>70</v>
      </c>
      <c r="B134" s="2" t="s">
        <v>241</v>
      </c>
      <c r="C134" s="2"/>
      <c r="D134" s="2"/>
    </row>
    <row r="135" spans="1:4" ht="13.5" customHeight="1" x14ac:dyDescent="0.45">
      <c r="A135" s="21" t="s">
        <v>543</v>
      </c>
      <c r="B135" s="2" t="s">
        <v>97</v>
      </c>
      <c r="C135" s="2"/>
      <c r="D135" s="2"/>
    </row>
    <row r="136" spans="1:4" ht="13.5" customHeight="1" x14ac:dyDescent="0.45">
      <c r="A136" s="21" t="s">
        <v>73</v>
      </c>
      <c r="B136" s="2" t="s">
        <v>98</v>
      </c>
      <c r="C136" s="2"/>
      <c r="D136" s="2"/>
    </row>
    <row r="137" spans="1:4" ht="13.5" customHeight="1" x14ac:dyDescent="0.45">
      <c r="A137" s="21" t="s">
        <v>544</v>
      </c>
      <c r="B137" s="2" t="s">
        <v>22</v>
      </c>
      <c r="C137" s="2"/>
      <c r="D137" s="2"/>
    </row>
    <row r="139" spans="1:4" ht="15" customHeight="1" x14ac:dyDescent="0.45">
      <c r="A139" s="1" t="s">
        <v>561</v>
      </c>
      <c r="B139" s="1"/>
      <c r="C139" s="1"/>
      <c r="D139" s="1"/>
    </row>
    <row r="140" spans="1:4" ht="13.5" customHeight="1" x14ac:dyDescent="0.45">
      <c r="A140" s="21" t="s">
        <v>62</v>
      </c>
      <c r="B140" s="2" t="s">
        <v>865</v>
      </c>
      <c r="C140" s="2"/>
      <c r="D140" s="2"/>
    </row>
    <row r="141" spans="1:4" ht="13.5" customHeight="1" x14ac:dyDescent="0.45">
      <c r="A141" s="21" t="s">
        <v>63</v>
      </c>
      <c r="B141" s="2" t="s">
        <v>244</v>
      </c>
      <c r="C141" s="2"/>
      <c r="D141" s="2"/>
    </row>
    <row r="142" spans="1:4" ht="13.5" customHeight="1" x14ac:dyDescent="0.45">
      <c r="A142" s="21" t="s">
        <v>25</v>
      </c>
      <c r="B142" s="2" t="s">
        <v>48</v>
      </c>
      <c r="C142" s="2"/>
      <c r="D142" s="2"/>
    </row>
    <row r="143" spans="1:4" ht="24" customHeight="1" x14ac:dyDescent="0.45">
      <c r="A143" s="21" t="s">
        <v>64</v>
      </c>
      <c r="B143" s="2" t="s">
        <v>245</v>
      </c>
      <c r="C143" s="2"/>
      <c r="D143" s="2"/>
    </row>
    <row r="144" spans="1:4" ht="24" customHeight="1" x14ac:dyDescent="0.45">
      <c r="A144" s="21" t="s">
        <v>65</v>
      </c>
      <c r="B144" s="2" t="s">
        <v>246</v>
      </c>
      <c r="C144" s="2"/>
      <c r="D144" s="2"/>
    </row>
    <row r="145" spans="1:4" ht="13.5" customHeight="1" x14ac:dyDescent="0.45">
      <c r="A145" s="21" t="s">
        <v>66</v>
      </c>
      <c r="B145" s="2" t="s">
        <v>247</v>
      </c>
      <c r="C145" s="2"/>
      <c r="D145" s="2"/>
    </row>
    <row r="146" spans="1:4" ht="13.5" customHeight="1" x14ac:dyDescent="0.45">
      <c r="A146" s="21" t="s">
        <v>67</v>
      </c>
      <c r="B146" s="2" t="s">
        <v>866</v>
      </c>
      <c r="C146" s="2"/>
      <c r="D146" s="2"/>
    </row>
    <row r="147" spans="1:4" ht="13.5" customHeight="1" x14ac:dyDescent="0.45">
      <c r="A147" s="21" t="s">
        <v>68</v>
      </c>
      <c r="B147" s="2" t="s">
        <v>248</v>
      </c>
      <c r="C147" s="2"/>
      <c r="D147" s="2"/>
    </row>
    <row r="148" spans="1:4" ht="13.5" customHeight="1" x14ac:dyDescent="0.45">
      <c r="A148" s="21" t="s">
        <v>69</v>
      </c>
      <c r="B148" s="2" t="s">
        <v>249</v>
      </c>
      <c r="C148" s="2"/>
      <c r="D148" s="2"/>
    </row>
    <row r="149" spans="1:4" ht="13.5" customHeight="1" x14ac:dyDescent="0.45">
      <c r="A149" s="21" t="s">
        <v>70</v>
      </c>
      <c r="B149" s="2" t="s">
        <v>250</v>
      </c>
      <c r="C149" s="2"/>
      <c r="D149" s="2"/>
    </row>
    <row r="150" spans="1:4" ht="13.5" customHeight="1" x14ac:dyDescent="0.45">
      <c r="A150" s="21" t="s">
        <v>543</v>
      </c>
      <c r="B150" s="2" t="s">
        <v>155</v>
      </c>
      <c r="C150" s="2"/>
      <c r="D150" s="2"/>
    </row>
    <row r="151" spans="1:4" ht="13.5" customHeight="1" x14ac:dyDescent="0.45">
      <c r="A151" s="21" t="s">
        <v>73</v>
      </c>
      <c r="B151" s="2" t="s">
        <v>97</v>
      </c>
      <c r="C151" s="2"/>
      <c r="D151" s="2"/>
    </row>
    <row r="152" spans="1:4" ht="13.5" customHeight="1" x14ac:dyDescent="0.45">
      <c r="A152" s="21" t="s">
        <v>544</v>
      </c>
      <c r="B152" s="2" t="s">
        <v>21</v>
      </c>
      <c r="C152" s="2"/>
      <c r="D152" s="2"/>
    </row>
    <row r="154" spans="1:4" ht="15" customHeight="1" x14ac:dyDescent="0.45">
      <c r="A154" s="1" t="s">
        <v>562</v>
      </c>
      <c r="B154" s="1"/>
      <c r="C154" s="1"/>
      <c r="D154" s="1"/>
    </row>
    <row r="155" spans="1:4" ht="24" customHeight="1" x14ac:dyDescent="0.45">
      <c r="A155" s="21" t="s">
        <v>62</v>
      </c>
      <c r="B155" s="2" t="s">
        <v>253</v>
      </c>
      <c r="C155" s="2"/>
      <c r="D155" s="2"/>
    </row>
    <row r="156" spans="1:4" ht="13.5" customHeight="1" x14ac:dyDescent="0.45">
      <c r="A156" s="21" t="s">
        <v>63</v>
      </c>
      <c r="B156" s="2" t="s">
        <v>254</v>
      </c>
      <c r="C156" s="2"/>
      <c r="D156" s="2"/>
    </row>
    <row r="157" spans="1:4" ht="13.5" customHeight="1" x14ac:dyDescent="0.45">
      <c r="A157" s="21" t="s">
        <v>25</v>
      </c>
      <c r="B157" s="2" t="s">
        <v>255</v>
      </c>
      <c r="C157" s="2"/>
      <c r="D157" s="2"/>
    </row>
    <row r="158" spans="1:4" ht="24" customHeight="1" x14ac:dyDescent="0.45">
      <c r="A158" s="21" t="s">
        <v>64</v>
      </c>
      <c r="B158" s="2" t="s">
        <v>256</v>
      </c>
      <c r="C158" s="2"/>
      <c r="D158" s="2"/>
    </row>
    <row r="159" spans="1:4" ht="24" customHeight="1" x14ac:dyDescent="0.45">
      <c r="A159" s="21" t="s">
        <v>65</v>
      </c>
      <c r="B159" s="2" t="s">
        <v>257</v>
      </c>
      <c r="C159" s="2"/>
      <c r="D159" s="2"/>
    </row>
    <row r="160" spans="1:4" ht="13.5" customHeight="1" x14ac:dyDescent="0.45">
      <c r="A160" s="21" t="s">
        <v>66</v>
      </c>
      <c r="B160" s="2" t="s">
        <v>258</v>
      </c>
      <c r="C160" s="2"/>
      <c r="D160" s="2"/>
    </row>
    <row r="161" spans="1:4" ht="24" customHeight="1" x14ac:dyDescent="0.45">
      <c r="A161" s="21" t="s">
        <v>67</v>
      </c>
      <c r="B161" s="2" t="s">
        <v>259</v>
      </c>
      <c r="C161" s="2"/>
      <c r="D161" s="2"/>
    </row>
    <row r="162" spans="1:4" ht="13.5" customHeight="1" x14ac:dyDescent="0.45">
      <c r="A162" s="21" t="s">
        <v>68</v>
      </c>
      <c r="B162" s="2" t="s">
        <v>260</v>
      </c>
      <c r="C162" s="2"/>
      <c r="D162" s="2"/>
    </row>
    <row r="163" spans="1:4" ht="13.5" customHeight="1" x14ac:dyDescent="0.45">
      <c r="A163" s="21" t="s">
        <v>69</v>
      </c>
      <c r="B163" s="2" t="s">
        <v>261</v>
      </c>
      <c r="C163" s="2"/>
      <c r="D163" s="2"/>
    </row>
    <row r="164" spans="1:4" ht="13.5" customHeight="1" x14ac:dyDescent="0.45">
      <c r="A164" s="21" t="s">
        <v>70</v>
      </c>
      <c r="B164" s="2" t="s">
        <v>262</v>
      </c>
      <c r="C164" s="2"/>
      <c r="D164" s="2"/>
    </row>
    <row r="165" spans="1:4" ht="13.5" customHeight="1" x14ac:dyDescent="0.45">
      <c r="A165" s="21" t="s">
        <v>543</v>
      </c>
      <c r="B165" s="2" t="s">
        <v>97</v>
      </c>
      <c r="C165" s="2"/>
      <c r="D165" s="2"/>
    </row>
    <row r="166" spans="1:4" ht="13.5" customHeight="1" x14ac:dyDescent="0.45">
      <c r="A166" s="21" t="s">
        <v>73</v>
      </c>
      <c r="B166" s="2" t="s">
        <v>263</v>
      </c>
      <c r="C166" s="2"/>
      <c r="D166" s="2"/>
    </row>
    <row r="167" spans="1:4" ht="13.5" customHeight="1" x14ac:dyDescent="0.45">
      <c r="A167" s="21" t="s">
        <v>544</v>
      </c>
      <c r="B167" s="2" t="s">
        <v>23</v>
      </c>
      <c r="C167" s="2"/>
      <c r="D167" s="2"/>
    </row>
    <row r="169" spans="1:4" ht="15" customHeight="1" x14ac:dyDescent="0.45">
      <c r="A169" s="1" t="s">
        <v>563</v>
      </c>
      <c r="B169" s="1"/>
      <c r="C169" s="1"/>
      <c r="D169" s="1"/>
    </row>
    <row r="170" spans="1:4" ht="13.5" customHeight="1" x14ac:dyDescent="0.45">
      <c r="A170" s="21" t="s">
        <v>62</v>
      </c>
      <c r="B170" s="2" t="s">
        <v>867</v>
      </c>
      <c r="C170" s="2"/>
      <c r="D170" s="2"/>
    </row>
    <row r="171" spans="1:4" ht="13.5" customHeight="1" x14ac:dyDescent="0.45">
      <c r="A171" s="21" t="s">
        <v>63</v>
      </c>
      <c r="B171" s="2" t="s">
        <v>266</v>
      </c>
      <c r="C171" s="2"/>
      <c r="D171" s="2"/>
    </row>
    <row r="172" spans="1:4" ht="13.5" customHeight="1" x14ac:dyDescent="0.45">
      <c r="A172" s="21" t="s">
        <v>25</v>
      </c>
      <c r="B172" s="2" t="s">
        <v>267</v>
      </c>
      <c r="C172" s="2"/>
      <c r="D172" s="2"/>
    </row>
    <row r="173" spans="1:4" ht="24" customHeight="1" x14ac:dyDescent="0.45">
      <c r="A173" s="21" t="s">
        <v>64</v>
      </c>
      <c r="B173" s="2" t="s">
        <v>268</v>
      </c>
      <c r="C173" s="2"/>
      <c r="D173" s="2"/>
    </row>
    <row r="174" spans="1:4" ht="24" customHeight="1" x14ac:dyDescent="0.45">
      <c r="A174" s="21" t="s">
        <v>65</v>
      </c>
      <c r="B174" s="2" t="s">
        <v>269</v>
      </c>
      <c r="C174" s="2"/>
      <c r="D174" s="2"/>
    </row>
    <row r="175" spans="1:4" ht="24" customHeight="1" x14ac:dyDescent="0.45">
      <c r="A175" s="21" t="s">
        <v>66</v>
      </c>
      <c r="B175" s="2" t="s">
        <v>270</v>
      </c>
      <c r="C175" s="2"/>
      <c r="D175" s="2"/>
    </row>
    <row r="176" spans="1:4" ht="13.5" customHeight="1" x14ac:dyDescent="0.45">
      <c r="A176" s="21" t="s">
        <v>67</v>
      </c>
      <c r="B176" s="2" t="s">
        <v>868</v>
      </c>
      <c r="C176" s="2"/>
      <c r="D176" s="2"/>
    </row>
    <row r="177" spans="1:4" ht="13.5" customHeight="1" x14ac:dyDescent="0.45">
      <c r="A177" s="21" t="s">
        <v>68</v>
      </c>
      <c r="B177" s="2" t="s">
        <v>271</v>
      </c>
      <c r="C177" s="2"/>
      <c r="D177" s="2"/>
    </row>
    <row r="178" spans="1:4" ht="13.5" customHeight="1" x14ac:dyDescent="0.45">
      <c r="A178" s="21" t="s">
        <v>69</v>
      </c>
      <c r="B178" s="2" t="s">
        <v>272</v>
      </c>
      <c r="C178" s="2"/>
      <c r="D178" s="2"/>
    </row>
    <row r="179" spans="1:4" ht="13.5" customHeight="1" x14ac:dyDescent="0.45">
      <c r="A179" s="21" t="s">
        <v>70</v>
      </c>
      <c r="B179" s="2" t="s">
        <v>273</v>
      </c>
      <c r="C179" s="2"/>
      <c r="D179" s="2"/>
    </row>
    <row r="180" spans="1:4" ht="13.5" customHeight="1" x14ac:dyDescent="0.45">
      <c r="A180" s="21" t="s">
        <v>543</v>
      </c>
      <c r="B180" s="2" t="s">
        <v>86</v>
      </c>
      <c r="C180" s="2"/>
      <c r="D180" s="2"/>
    </row>
    <row r="181" spans="1:4" ht="13.5" customHeight="1" x14ac:dyDescent="0.45">
      <c r="A181" s="21" t="s">
        <v>73</v>
      </c>
      <c r="B181" s="2" t="s">
        <v>97</v>
      </c>
      <c r="C181" s="2"/>
      <c r="D181" s="2"/>
    </row>
    <row r="182" spans="1:4" ht="13.5" customHeight="1" x14ac:dyDescent="0.45">
      <c r="A182" s="21" t="s">
        <v>544</v>
      </c>
      <c r="B182" s="2" t="s">
        <v>21</v>
      </c>
      <c r="C182" s="2"/>
      <c r="D182" s="2"/>
    </row>
    <row r="184" spans="1:4" ht="15" customHeight="1" x14ac:dyDescent="0.45">
      <c r="A184" s="1" t="s">
        <v>564</v>
      </c>
      <c r="B184" s="1"/>
      <c r="C184" s="1"/>
      <c r="D184" s="1"/>
    </row>
    <row r="185" spans="1:4" ht="13.5" customHeight="1" x14ac:dyDescent="0.45">
      <c r="A185" s="21" t="s">
        <v>62</v>
      </c>
      <c r="B185" s="2" t="s">
        <v>869</v>
      </c>
      <c r="C185" s="2"/>
      <c r="D185" s="2"/>
    </row>
    <row r="186" spans="1:4" ht="13.5" customHeight="1" x14ac:dyDescent="0.45">
      <c r="A186" s="21" t="s">
        <v>63</v>
      </c>
      <c r="B186" s="2" t="s">
        <v>276</v>
      </c>
      <c r="C186" s="2"/>
      <c r="D186" s="2"/>
    </row>
    <row r="187" spans="1:4" ht="13.5" customHeight="1" x14ac:dyDescent="0.45">
      <c r="A187" s="21" t="s">
        <v>25</v>
      </c>
      <c r="B187" s="2" t="s">
        <v>277</v>
      </c>
      <c r="C187" s="2"/>
      <c r="D187" s="2"/>
    </row>
    <row r="188" spans="1:4" ht="24" customHeight="1" x14ac:dyDescent="0.45">
      <c r="A188" s="21" t="s">
        <v>64</v>
      </c>
      <c r="B188" s="2" t="s">
        <v>278</v>
      </c>
      <c r="C188" s="2"/>
      <c r="D188" s="2"/>
    </row>
    <row r="189" spans="1:4" ht="24" customHeight="1" x14ac:dyDescent="0.45">
      <c r="A189" s="21" t="s">
        <v>65</v>
      </c>
      <c r="B189" s="2" t="s">
        <v>279</v>
      </c>
      <c r="C189" s="2"/>
      <c r="D189" s="2"/>
    </row>
    <row r="190" spans="1:4" ht="13.5" customHeight="1" x14ac:dyDescent="0.45">
      <c r="A190" s="21" t="s">
        <v>66</v>
      </c>
      <c r="B190" s="2" t="s">
        <v>280</v>
      </c>
      <c r="C190" s="2"/>
      <c r="D190" s="2"/>
    </row>
    <row r="191" spans="1:4" ht="13.5" customHeight="1" x14ac:dyDescent="0.45">
      <c r="A191" s="21" t="s">
        <v>67</v>
      </c>
      <c r="B191" s="2" t="s">
        <v>870</v>
      </c>
      <c r="C191" s="2"/>
      <c r="D191" s="2"/>
    </row>
    <row r="192" spans="1:4" ht="13.5" customHeight="1" x14ac:dyDescent="0.45">
      <c r="A192" s="21" t="s">
        <v>68</v>
      </c>
      <c r="B192" s="2" t="s">
        <v>281</v>
      </c>
      <c r="C192" s="2"/>
      <c r="D192" s="2"/>
    </row>
    <row r="193" spans="1:4" ht="13.5" customHeight="1" x14ac:dyDescent="0.45">
      <c r="A193" s="21" t="s">
        <v>69</v>
      </c>
      <c r="B193" s="2" t="s">
        <v>282</v>
      </c>
      <c r="C193" s="2"/>
      <c r="D193" s="2"/>
    </row>
    <row r="194" spans="1:4" ht="13.5" customHeight="1" x14ac:dyDescent="0.45">
      <c r="A194" s="21" t="s">
        <v>70</v>
      </c>
      <c r="B194" s="2" t="s">
        <v>283</v>
      </c>
      <c r="C194" s="2"/>
      <c r="D194" s="2"/>
    </row>
    <row r="195" spans="1:4" ht="13.5" customHeight="1" x14ac:dyDescent="0.45">
      <c r="A195" s="21" t="s">
        <v>543</v>
      </c>
      <c r="B195" s="2" t="s">
        <v>86</v>
      </c>
      <c r="C195" s="2"/>
      <c r="D195" s="2"/>
    </row>
    <row r="196" spans="1:4" ht="13.5" customHeight="1" x14ac:dyDescent="0.45">
      <c r="A196" s="21" t="s">
        <v>73</v>
      </c>
      <c r="B196" s="2" t="s">
        <v>98</v>
      </c>
      <c r="C196" s="2"/>
      <c r="D196" s="2"/>
    </row>
    <row r="197" spans="1:4" ht="13.5" customHeight="1" x14ac:dyDescent="0.45">
      <c r="A197" s="21" t="s">
        <v>544</v>
      </c>
      <c r="B197" s="2" t="s">
        <v>21</v>
      </c>
      <c r="C197" s="2"/>
      <c r="D197" s="2"/>
    </row>
    <row r="199" spans="1:4" ht="15" customHeight="1" x14ac:dyDescent="0.45">
      <c r="A199" s="1" t="s">
        <v>565</v>
      </c>
      <c r="B199" s="1"/>
      <c r="C199" s="1"/>
      <c r="D199" s="1"/>
    </row>
    <row r="200" spans="1:4" ht="13.5" customHeight="1" x14ac:dyDescent="0.45">
      <c r="A200" s="21" t="s">
        <v>62</v>
      </c>
      <c r="B200" s="2" t="s">
        <v>871</v>
      </c>
      <c r="C200" s="2"/>
      <c r="D200" s="2"/>
    </row>
    <row r="201" spans="1:4" ht="13.5" customHeight="1" x14ac:dyDescent="0.45">
      <c r="A201" s="21" t="s">
        <v>63</v>
      </c>
      <c r="B201" s="2" t="s">
        <v>286</v>
      </c>
      <c r="C201" s="2"/>
      <c r="D201" s="2"/>
    </row>
    <row r="202" spans="1:4" ht="13.5" customHeight="1" x14ac:dyDescent="0.45">
      <c r="A202" s="21" t="s">
        <v>25</v>
      </c>
      <c r="B202" s="2" t="s">
        <v>287</v>
      </c>
      <c r="C202" s="2"/>
      <c r="D202" s="2"/>
    </row>
    <row r="203" spans="1:4" ht="24" customHeight="1" x14ac:dyDescent="0.45">
      <c r="A203" s="21" t="s">
        <v>64</v>
      </c>
      <c r="B203" s="2" t="s">
        <v>288</v>
      </c>
      <c r="C203" s="2"/>
      <c r="D203" s="2"/>
    </row>
    <row r="204" spans="1:4" ht="13.5" customHeight="1" x14ac:dyDescent="0.45">
      <c r="A204" s="21" t="s">
        <v>65</v>
      </c>
      <c r="B204" s="2" t="s">
        <v>289</v>
      </c>
      <c r="C204" s="2"/>
      <c r="D204" s="2"/>
    </row>
    <row r="205" spans="1:4" ht="13.5" customHeight="1" x14ac:dyDescent="0.45">
      <c r="A205" s="21" t="s">
        <v>66</v>
      </c>
      <c r="B205" s="2" t="s">
        <v>290</v>
      </c>
      <c r="C205" s="2"/>
      <c r="D205" s="2"/>
    </row>
    <row r="206" spans="1:4" ht="13.5" customHeight="1" x14ac:dyDescent="0.45">
      <c r="A206" s="21" t="s">
        <v>67</v>
      </c>
      <c r="B206" s="2" t="s">
        <v>872</v>
      </c>
      <c r="C206" s="2"/>
      <c r="D206" s="2"/>
    </row>
    <row r="207" spans="1:4" ht="13.5" customHeight="1" x14ac:dyDescent="0.45">
      <c r="A207" s="21" t="s">
        <v>68</v>
      </c>
      <c r="B207" s="2" t="s">
        <v>291</v>
      </c>
      <c r="C207" s="2"/>
      <c r="D207" s="2"/>
    </row>
    <row r="208" spans="1:4" ht="13.5" customHeight="1" x14ac:dyDescent="0.45">
      <c r="A208" s="21" t="s">
        <v>69</v>
      </c>
      <c r="B208" s="2" t="s">
        <v>292</v>
      </c>
      <c r="C208" s="2"/>
      <c r="D208" s="2"/>
    </row>
    <row r="209" spans="1:4" ht="13.5" customHeight="1" x14ac:dyDescent="0.45">
      <c r="A209" s="21" t="s">
        <v>70</v>
      </c>
      <c r="B209" s="2" t="s">
        <v>293</v>
      </c>
      <c r="C209" s="2"/>
      <c r="D209" s="2"/>
    </row>
    <row r="210" spans="1:4" ht="13.5" customHeight="1" x14ac:dyDescent="0.45">
      <c r="A210" s="21" t="s">
        <v>543</v>
      </c>
      <c r="B210" s="2" t="s">
        <v>98</v>
      </c>
      <c r="C210" s="2"/>
      <c r="D210" s="2"/>
    </row>
    <row r="211" spans="1:4" ht="13.5" customHeight="1" x14ac:dyDescent="0.45">
      <c r="A211" s="21" t="s">
        <v>73</v>
      </c>
      <c r="B211" s="2" t="s">
        <v>98</v>
      </c>
      <c r="C211" s="2"/>
      <c r="D211" s="2"/>
    </row>
    <row r="212" spans="1:4" ht="13.5" customHeight="1" x14ac:dyDescent="0.45">
      <c r="A212" s="21" t="s">
        <v>544</v>
      </c>
      <c r="B212" s="2" t="s">
        <v>22</v>
      </c>
      <c r="C212" s="2"/>
      <c r="D212" s="2"/>
    </row>
    <row r="214" spans="1:4" ht="15" customHeight="1" x14ac:dyDescent="0.45">
      <c r="A214" s="1" t="s">
        <v>566</v>
      </c>
      <c r="B214" s="1"/>
      <c r="C214" s="1"/>
      <c r="D214" s="1"/>
    </row>
    <row r="215" spans="1:4" ht="13.5" customHeight="1" x14ac:dyDescent="0.45">
      <c r="A215" s="21" t="s">
        <v>62</v>
      </c>
      <c r="B215" s="2" t="s">
        <v>873</v>
      </c>
      <c r="C215" s="2"/>
      <c r="D215" s="2"/>
    </row>
    <row r="216" spans="1:4" ht="13.5" customHeight="1" x14ac:dyDescent="0.45">
      <c r="A216" s="21" t="s">
        <v>63</v>
      </c>
      <c r="B216" s="2" t="s">
        <v>296</v>
      </c>
      <c r="C216" s="2"/>
      <c r="D216" s="2"/>
    </row>
    <row r="217" spans="1:4" ht="13.5" customHeight="1" x14ac:dyDescent="0.45">
      <c r="A217" s="21" t="s">
        <v>25</v>
      </c>
      <c r="B217" s="2" t="s">
        <v>297</v>
      </c>
      <c r="C217" s="2"/>
      <c r="D217" s="2"/>
    </row>
    <row r="218" spans="1:4" ht="24" customHeight="1" x14ac:dyDescent="0.45">
      <c r="A218" s="21" t="s">
        <v>64</v>
      </c>
      <c r="B218" s="2" t="s">
        <v>298</v>
      </c>
      <c r="C218" s="2"/>
      <c r="D218" s="2"/>
    </row>
    <row r="219" spans="1:4" ht="13.5" customHeight="1" x14ac:dyDescent="0.45">
      <c r="A219" s="21" t="s">
        <v>65</v>
      </c>
      <c r="B219" s="2" t="s">
        <v>299</v>
      </c>
      <c r="C219" s="2"/>
      <c r="D219" s="2"/>
    </row>
    <row r="220" spans="1:4" ht="24" customHeight="1" x14ac:dyDescent="0.45">
      <c r="A220" s="21" t="s">
        <v>66</v>
      </c>
      <c r="B220" s="2" t="s">
        <v>300</v>
      </c>
      <c r="C220" s="2"/>
      <c r="D220" s="2"/>
    </row>
    <row r="221" spans="1:4" ht="24" customHeight="1" x14ac:dyDescent="0.45">
      <c r="A221" s="21" t="s">
        <v>67</v>
      </c>
      <c r="B221" s="2" t="s">
        <v>874</v>
      </c>
      <c r="C221" s="2"/>
      <c r="D221" s="2"/>
    </row>
    <row r="222" spans="1:4" ht="13.5" customHeight="1" x14ac:dyDescent="0.45">
      <c r="A222" s="21" t="s">
        <v>68</v>
      </c>
      <c r="B222" s="2" t="s">
        <v>301</v>
      </c>
      <c r="C222" s="2"/>
      <c r="D222" s="2"/>
    </row>
    <row r="223" spans="1:4" ht="13.5" customHeight="1" x14ac:dyDescent="0.45">
      <c r="A223" s="21" t="s">
        <v>69</v>
      </c>
      <c r="B223" s="2" t="s">
        <v>302</v>
      </c>
      <c r="C223" s="2"/>
      <c r="D223" s="2"/>
    </row>
    <row r="224" spans="1:4" ht="13.5" customHeight="1" x14ac:dyDescent="0.45">
      <c r="A224" s="21" t="s">
        <v>70</v>
      </c>
      <c r="B224" s="2" t="s">
        <v>303</v>
      </c>
      <c r="C224" s="2"/>
      <c r="D224" s="2"/>
    </row>
    <row r="225" spans="1:4" ht="13.5" customHeight="1" x14ac:dyDescent="0.45">
      <c r="A225" s="21" t="s">
        <v>543</v>
      </c>
      <c r="B225" s="2" t="s">
        <v>86</v>
      </c>
      <c r="C225" s="2"/>
      <c r="D225" s="2"/>
    </row>
    <row r="226" spans="1:4" ht="13.5" customHeight="1" x14ac:dyDescent="0.45">
      <c r="A226" s="21" t="s">
        <v>73</v>
      </c>
      <c r="B226" s="2" t="s">
        <v>97</v>
      </c>
      <c r="C226" s="2"/>
      <c r="D226" s="2"/>
    </row>
    <row r="227" spans="1:4" ht="13.5" customHeight="1" x14ac:dyDescent="0.45">
      <c r="A227" s="21" t="s">
        <v>544</v>
      </c>
      <c r="B227" s="2" t="s">
        <v>21</v>
      </c>
      <c r="C227" s="2"/>
      <c r="D227" s="2"/>
    </row>
    <row r="229" spans="1:4" ht="15" customHeight="1" x14ac:dyDescent="0.45">
      <c r="A229" s="1" t="s">
        <v>567</v>
      </c>
      <c r="B229" s="1"/>
      <c r="C229" s="1"/>
      <c r="D229" s="1"/>
    </row>
    <row r="230" spans="1:4" ht="13.5" customHeight="1" x14ac:dyDescent="0.45">
      <c r="A230" s="21" t="s">
        <v>62</v>
      </c>
      <c r="B230" s="2" t="s">
        <v>306</v>
      </c>
      <c r="C230" s="2"/>
      <c r="D230" s="2"/>
    </row>
    <row r="231" spans="1:4" ht="24" customHeight="1" x14ac:dyDescent="0.45">
      <c r="A231" s="21" t="s">
        <v>63</v>
      </c>
      <c r="B231" s="2" t="s">
        <v>307</v>
      </c>
      <c r="C231" s="2"/>
      <c r="D231" s="2"/>
    </row>
    <row r="232" spans="1:4" ht="13.5" customHeight="1" x14ac:dyDescent="0.45">
      <c r="A232" s="21" t="s">
        <v>25</v>
      </c>
      <c r="B232" s="2" t="s">
        <v>48</v>
      </c>
      <c r="C232" s="2"/>
      <c r="D232" s="2"/>
    </row>
    <row r="233" spans="1:4" ht="24" customHeight="1" x14ac:dyDescent="0.45">
      <c r="A233" s="21" t="s">
        <v>64</v>
      </c>
      <c r="B233" s="2" t="s">
        <v>308</v>
      </c>
      <c r="C233" s="2"/>
      <c r="D233" s="2"/>
    </row>
    <row r="234" spans="1:4" ht="24" customHeight="1" x14ac:dyDescent="0.45">
      <c r="A234" s="21" t="s">
        <v>65</v>
      </c>
      <c r="B234" s="2" t="s">
        <v>309</v>
      </c>
      <c r="C234" s="2"/>
      <c r="D234" s="2"/>
    </row>
    <row r="235" spans="1:4" ht="13.5" customHeight="1" x14ac:dyDescent="0.45">
      <c r="A235" s="21" t="s">
        <v>66</v>
      </c>
      <c r="B235" s="2" t="s">
        <v>310</v>
      </c>
      <c r="C235" s="2"/>
      <c r="D235" s="2"/>
    </row>
    <row r="236" spans="1:4" ht="24" customHeight="1" x14ac:dyDescent="0.45">
      <c r="A236" s="21" t="s">
        <v>67</v>
      </c>
      <c r="B236" s="2" t="s">
        <v>311</v>
      </c>
      <c r="C236" s="2"/>
      <c r="D236" s="2"/>
    </row>
    <row r="237" spans="1:4" ht="13.5" customHeight="1" x14ac:dyDescent="0.45">
      <c r="A237" s="21" t="s">
        <v>68</v>
      </c>
      <c r="B237" s="2" t="s">
        <v>312</v>
      </c>
      <c r="C237" s="2"/>
      <c r="D237" s="2"/>
    </row>
    <row r="238" spans="1:4" ht="24" customHeight="1" x14ac:dyDescent="0.45">
      <c r="A238" s="21" t="s">
        <v>69</v>
      </c>
      <c r="B238" s="2" t="s">
        <v>313</v>
      </c>
      <c r="C238" s="2"/>
      <c r="D238" s="2"/>
    </row>
    <row r="239" spans="1:4" ht="13.5" customHeight="1" x14ac:dyDescent="0.45">
      <c r="A239" s="21" t="s">
        <v>70</v>
      </c>
      <c r="B239" s="2" t="s">
        <v>314</v>
      </c>
      <c r="C239" s="2"/>
      <c r="D239" s="2"/>
    </row>
    <row r="240" spans="1:4" ht="13.5" customHeight="1" x14ac:dyDescent="0.45">
      <c r="A240" s="21" t="s">
        <v>543</v>
      </c>
      <c r="B240" s="2" t="s">
        <v>86</v>
      </c>
      <c r="C240" s="2"/>
      <c r="D240" s="2"/>
    </row>
    <row r="241" spans="1:4" ht="13.5" customHeight="1" x14ac:dyDescent="0.45">
      <c r="A241" s="21" t="s">
        <v>73</v>
      </c>
      <c r="B241" s="2" t="s">
        <v>97</v>
      </c>
      <c r="C241" s="2"/>
      <c r="D241" s="2"/>
    </row>
    <row r="242" spans="1:4" ht="13.5" customHeight="1" x14ac:dyDescent="0.45">
      <c r="A242" s="21" t="s">
        <v>544</v>
      </c>
      <c r="B242" s="2" t="s">
        <v>21</v>
      </c>
      <c r="C242" s="2"/>
      <c r="D242" s="2"/>
    </row>
    <row r="244" spans="1:4" ht="15" customHeight="1" x14ac:dyDescent="0.45">
      <c r="A244" s="1" t="s">
        <v>568</v>
      </c>
      <c r="B244" s="1"/>
      <c r="C244" s="1"/>
      <c r="D244" s="1"/>
    </row>
    <row r="245" spans="1:4" ht="13.5" customHeight="1" x14ac:dyDescent="0.45">
      <c r="A245" s="21" t="s">
        <v>62</v>
      </c>
      <c r="B245" s="2" t="s">
        <v>875</v>
      </c>
      <c r="C245" s="2"/>
      <c r="D245" s="2"/>
    </row>
    <row r="246" spans="1:4" ht="13.5" customHeight="1" x14ac:dyDescent="0.45">
      <c r="A246" s="21" t="s">
        <v>63</v>
      </c>
      <c r="B246" s="2" t="s">
        <v>317</v>
      </c>
      <c r="C246" s="2"/>
      <c r="D246" s="2"/>
    </row>
    <row r="247" spans="1:4" ht="13.5" customHeight="1" x14ac:dyDescent="0.45">
      <c r="A247" s="21" t="s">
        <v>25</v>
      </c>
      <c r="B247" s="2" t="s">
        <v>318</v>
      </c>
      <c r="C247" s="2"/>
      <c r="D247" s="2"/>
    </row>
    <row r="248" spans="1:4" ht="24" customHeight="1" x14ac:dyDescent="0.45">
      <c r="A248" s="21" t="s">
        <v>64</v>
      </c>
      <c r="B248" s="2" t="s">
        <v>319</v>
      </c>
      <c r="C248" s="2"/>
      <c r="D248" s="2"/>
    </row>
    <row r="249" spans="1:4" ht="24" customHeight="1" x14ac:dyDescent="0.45">
      <c r="A249" s="21" t="s">
        <v>65</v>
      </c>
      <c r="B249" s="2" t="s">
        <v>320</v>
      </c>
      <c r="C249" s="2"/>
      <c r="D249" s="2"/>
    </row>
    <row r="250" spans="1:4" ht="24" customHeight="1" x14ac:dyDescent="0.45">
      <c r="A250" s="21" t="s">
        <v>66</v>
      </c>
      <c r="B250" s="2" t="s">
        <v>321</v>
      </c>
      <c r="C250" s="2"/>
      <c r="D250" s="2"/>
    </row>
    <row r="251" spans="1:4" ht="24" customHeight="1" x14ac:dyDescent="0.45">
      <c r="A251" s="21" t="s">
        <v>67</v>
      </c>
      <c r="B251" s="2" t="s">
        <v>876</v>
      </c>
      <c r="C251" s="2"/>
      <c r="D251" s="2"/>
    </row>
    <row r="252" spans="1:4" ht="13.5" customHeight="1" x14ac:dyDescent="0.45">
      <c r="A252" s="21" t="s">
        <v>68</v>
      </c>
      <c r="B252" s="2" t="s">
        <v>322</v>
      </c>
      <c r="C252" s="2"/>
      <c r="D252" s="2"/>
    </row>
    <row r="253" spans="1:4" ht="13.5" customHeight="1" x14ac:dyDescent="0.45">
      <c r="A253" s="21" t="s">
        <v>69</v>
      </c>
      <c r="B253" s="2" t="s">
        <v>323</v>
      </c>
      <c r="C253" s="2"/>
      <c r="D253" s="2"/>
    </row>
    <row r="254" spans="1:4" ht="13.5" customHeight="1" x14ac:dyDescent="0.45">
      <c r="A254" s="21" t="s">
        <v>70</v>
      </c>
      <c r="B254" s="2" t="s">
        <v>324</v>
      </c>
      <c r="C254" s="2"/>
      <c r="D254" s="2"/>
    </row>
    <row r="255" spans="1:4" ht="13.5" customHeight="1" x14ac:dyDescent="0.45">
      <c r="A255" s="21" t="s">
        <v>543</v>
      </c>
      <c r="B255" s="2" t="s">
        <v>97</v>
      </c>
      <c r="C255" s="2"/>
      <c r="D255" s="2"/>
    </row>
    <row r="256" spans="1:4" ht="13.5" customHeight="1" x14ac:dyDescent="0.45">
      <c r="A256" s="21" t="s">
        <v>73</v>
      </c>
      <c r="B256" s="2" t="s">
        <v>97</v>
      </c>
      <c r="C256" s="2"/>
      <c r="D256" s="2"/>
    </row>
    <row r="257" spans="1:4" ht="13.5" customHeight="1" x14ac:dyDescent="0.45">
      <c r="A257" s="21" t="s">
        <v>544</v>
      </c>
      <c r="B257" s="2" t="s">
        <v>22</v>
      </c>
      <c r="C257" s="2"/>
      <c r="D257" s="2"/>
    </row>
    <row r="259" spans="1:4" ht="15" customHeight="1" x14ac:dyDescent="0.45">
      <c r="A259" s="1" t="s">
        <v>569</v>
      </c>
      <c r="B259" s="1"/>
      <c r="C259" s="1"/>
      <c r="D259" s="1"/>
    </row>
    <row r="260" spans="1:4" ht="13.5" customHeight="1" x14ac:dyDescent="0.45">
      <c r="A260" s="21" t="s">
        <v>62</v>
      </c>
      <c r="B260" s="2" t="s">
        <v>877</v>
      </c>
      <c r="C260" s="2"/>
      <c r="D260" s="2"/>
    </row>
    <row r="261" spans="1:4" ht="13.5" customHeight="1" x14ac:dyDescent="0.45">
      <c r="A261" s="21" t="s">
        <v>63</v>
      </c>
      <c r="B261" s="2" t="s">
        <v>327</v>
      </c>
      <c r="C261" s="2"/>
      <c r="D261" s="2"/>
    </row>
    <row r="262" spans="1:4" ht="13.5" customHeight="1" x14ac:dyDescent="0.45">
      <c r="A262" s="21" t="s">
        <v>25</v>
      </c>
      <c r="B262" s="2" t="s">
        <v>328</v>
      </c>
      <c r="C262" s="2"/>
      <c r="D262" s="2"/>
    </row>
    <row r="263" spans="1:4" ht="24" customHeight="1" x14ac:dyDescent="0.45">
      <c r="A263" s="21" t="s">
        <v>64</v>
      </c>
      <c r="B263" s="2" t="s">
        <v>329</v>
      </c>
      <c r="C263" s="2"/>
      <c r="D263" s="2"/>
    </row>
    <row r="264" spans="1:4" ht="13.5" customHeight="1" x14ac:dyDescent="0.45">
      <c r="A264" s="21" t="s">
        <v>65</v>
      </c>
      <c r="B264" s="2" t="s">
        <v>330</v>
      </c>
      <c r="C264" s="2"/>
      <c r="D264" s="2"/>
    </row>
    <row r="265" spans="1:4" ht="13.5" customHeight="1" x14ac:dyDescent="0.45">
      <c r="A265" s="21" t="s">
        <v>66</v>
      </c>
      <c r="B265" s="2" t="s">
        <v>331</v>
      </c>
      <c r="C265" s="2"/>
      <c r="D265" s="2"/>
    </row>
    <row r="266" spans="1:4" ht="13.5" customHeight="1" x14ac:dyDescent="0.45">
      <c r="A266" s="21" t="s">
        <v>67</v>
      </c>
      <c r="B266" s="2" t="s">
        <v>878</v>
      </c>
      <c r="C266" s="2"/>
      <c r="D266" s="2"/>
    </row>
    <row r="267" spans="1:4" ht="13.5" customHeight="1" x14ac:dyDescent="0.45">
      <c r="A267" s="21" t="s">
        <v>68</v>
      </c>
      <c r="B267" s="2" t="s">
        <v>332</v>
      </c>
      <c r="C267" s="2"/>
      <c r="D267" s="2"/>
    </row>
    <row r="268" spans="1:4" ht="13.5" customHeight="1" x14ac:dyDescent="0.45">
      <c r="A268" s="21" t="s">
        <v>69</v>
      </c>
      <c r="B268" s="2" t="s">
        <v>333</v>
      </c>
      <c r="C268" s="2"/>
      <c r="D268" s="2"/>
    </row>
    <row r="269" spans="1:4" ht="13.5" customHeight="1" x14ac:dyDescent="0.45">
      <c r="A269" s="21" t="s">
        <v>70</v>
      </c>
      <c r="B269" s="2" t="s">
        <v>334</v>
      </c>
      <c r="C269" s="2"/>
      <c r="D269" s="2"/>
    </row>
    <row r="270" spans="1:4" ht="13.5" customHeight="1" x14ac:dyDescent="0.45">
      <c r="A270" s="21" t="s">
        <v>543</v>
      </c>
      <c r="B270" s="2" t="s">
        <v>97</v>
      </c>
      <c r="C270" s="2"/>
      <c r="D270" s="2"/>
    </row>
    <row r="271" spans="1:4" ht="13.5" customHeight="1" x14ac:dyDescent="0.45">
      <c r="A271" s="21" t="s">
        <v>73</v>
      </c>
      <c r="B271" s="2" t="s">
        <v>98</v>
      </c>
      <c r="C271" s="2"/>
      <c r="D271" s="2"/>
    </row>
    <row r="272" spans="1:4" ht="13.5" customHeight="1" x14ac:dyDescent="0.45">
      <c r="A272" s="21" t="s">
        <v>544</v>
      </c>
      <c r="B272" s="2" t="s">
        <v>23</v>
      </c>
      <c r="C272" s="2"/>
      <c r="D272" s="2"/>
    </row>
  </sheetData>
  <mergeCells count="254">
    <mergeCell ref="B271:D271"/>
    <mergeCell ref="B272:D272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52:D252"/>
    <mergeCell ref="B253:D253"/>
    <mergeCell ref="B254:D254"/>
    <mergeCell ref="B255:D255"/>
    <mergeCell ref="B256:D256"/>
    <mergeCell ref="B257:D257"/>
    <mergeCell ref="A259:D259"/>
    <mergeCell ref="B260:D260"/>
    <mergeCell ref="B261:D261"/>
    <mergeCell ref="B242:D242"/>
    <mergeCell ref="A244:D244"/>
    <mergeCell ref="B245:D245"/>
    <mergeCell ref="B246:D246"/>
    <mergeCell ref="B247:D247"/>
    <mergeCell ref="B248:D248"/>
    <mergeCell ref="B249:D249"/>
    <mergeCell ref="B250:D250"/>
    <mergeCell ref="B251:D251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23:D223"/>
    <mergeCell ref="B224:D224"/>
    <mergeCell ref="B225:D225"/>
    <mergeCell ref="B226:D226"/>
    <mergeCell ref="B227:D227"/>
    <mergeCell ref="A229:D229"/>
    <mergeCell ref="B230:D230"/>
    <mergeCell ref="B231:D231"/>
    <mergeCell ref="B232:D232"/>
    <mergeCell ref="A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194:D194"/>
    <mergeCell ref="B195:D195"/>
    <mergeCell ref="B196:D196"/>
    <mergeCell ref="B197:D197"/>
    <mergeCell ref="A199:D199"/>
    <mergeCell ref="B200:D200"/>
    <mergeCell ref="B201:D201"/>
    <mergeCell ref="B202:D202"/>
    <mergeCell ref="B203:D203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A184:D184"/>
    <mergeCell ref="B165:D165"/>
    <mergeCell ref="B166:D166"/>
    <mergeCell ref="B167:D167"/>
    <mergeCell ref="A169:D169"/>
    <mergeCell ref="B170:D170"/>
    <mergeCell ref="B171:D171"/>
    <mergeCell ref="B172:D172"/>
    <mergeCell ref="B173:D173"/>
    <mergeCell ref="B174:D174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46:D146"/>
    <mergeCell ref="B147:D147"/>
    <mergeCell ref="B148:D148"/>
    <mergeCell ref="B149:D149"/>
    <mergeCell ref="B150:D150"/>
    <mergeCell ref="B151:D151"/>
    <mergeCell ref="B152:D152"/>
    <mergeCell ref="A154:D154"/>
    <mergeCell ref="B155:D155"/>
    <mergeCell ref="B136:D136"/>
    <mergeCell ref="B137:D137"/>
    <mergeCell ref="A139:D139"/>
    <mergeCell ref="B140:D140"/>
    <mergeCell ref="B141:D141"/>
    <mergeCell ref="B142:D142"/>
    <mergeCell ref="B143:D143"/>
    <mergeCell ref="B144:D144"/>
    <mergeCell ref="B145:D145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17:D117"/>
    <mergeCell ref="B118:D118"/>
    <mergeCell ref="B119:D119"/>
    <mergeCell ref="B120:D120"/>
    <mergeCell ref="B121:D121"/>
    <mergeCell ref="B122:D122"/>
    <mergeCell ref="A124:D124"/>
    <mergeCell ref="B125:D125"/>
    <mergeCell ref="B126:D126"/>
    <mergeCell ref="B107:D107"/>
    <mergeCell ref="A109:D109"/>
    <mergeCell ref="B110:D110"/>
    <mergeCell ref="B111:D111"/>
    <mergeCell ref="B112:D112"/>
    <mergeCell ref="B113:D113"/>
    <mergeCell ref="B114:D114"/>
    <mergeCell ref="B115:D115"/>
    <mergeCell ref="B116:D116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88:D88"/>
    <mergeCell ref="B89:D89"/>
    <mergeCell ref="B90:D90"/>
    <mergeCell ref="B91:D91"/>
    <mergeCell ref="B92:D92"/>
    <mergeCell ref="A94:D94"/>
    <mergeCell ref="B95:D95"/>
    <mergeCell ref="B96:D96"/>
    <mergeCell ref="B97:D97"/>
    <mergeCell ref="A79:D79"/>
    <mergeCell ref="B80:D80"/>
    <mergeCell ref="B81:D81"/>
    <mergeCell ref="B82:D82"/>
    <mergeCell ref="B83:D83"/>
    <mergeCell ref="B84:D84"/>
    <mergeCell ref="B85:D85"/>
    <mergeCell ref="B86:D86"/>
    <mergeCell ref="B87:D87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59:D59"/>
    <mergeCell ref="B60:D60"/>
    <mergeCell ref="B61:D61"/>
    <mergeCell ref="B62:D62"/>
    <mergeCell ref="A64:D64"/>
    <mergeCell ref="B65:D65"/>
    <mergeCell ref="B66:D66"/>
    <mergeCell ref="B67:D67"/>
    <mergeCell ref="B68:D68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40:D40"/>
    <mergeCell ref="B41:D41"/>
    <mergeCell ref="B42:D42"/>
    <mergeCell ref="B43:D43"/>
    <mergeCell ref="B44:D44"/>
    <mergeCell ref="B45:D45"/>
    <mergeCell ref="B46:D46"/>
    <mergeCell ref="B47:D47"/>
    <mergeCell ref="A49:D49"/>
    <mergeCell ref="B30:D30"/>
    <mergeCell ref="B31:D31"/>
    <mergeCell ref="B32:D32"/>
    <mergeCell ref="A34:D34"/>
    <mergeCell ref="B35:D35"/>
    <mergeCell ref="B36:D36"/>
    <mergeCell ref="B37:D37"/>
    <mergeCell ref="B38:D38"/>
    <mergeCell ref="B39:D3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11:D11"/>
    <mergeCell ref="B12:D12"/>
    <mergeCell ref="B13:D13"/>
    <mergeCell ref="B14:D14"/>
    <mergeCell ref="B15:D15"/>
    <mergeCell ref="B16:D16"/>
    <mergeCell ref="B17:D17"/>
    <mergeCell ref="A19:D19"/>
    <mergeCell ref="B20:D20"/>
    <mergeCell ref="A1:D1"/>
    <mergeCell ref="A2:D2"/>
    <mergeCell ref="A4:D4"/>
    <mergeCell ref="B5:D5"/>
    <mergeCell ref="B6:D6"/>
    <mergeCell ref="B7:D7"/>
    <mergeCell ref="B8:D8"/>
    <mergeCell ref="B9:D9"/>
    <mergeCell ref="B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7"/>
  <sheetViews>
    <sheetView showGridLines="0" zoomScaleNormal="100" workbookViewId="0">
      <selection sqref="A1:D1"/>
    </sheetView>
  </sheetViews>
  <sheetFormatPr defaultColWidth="8.6640625" defaultRowHeight="14.25" x14ac:dyDescent="0.45"/>
  <cols>
    <col min="1" max="1" width="22" customWidth="1"/>
    <col min="2" max="4" width="42" customWidth="1"/>
  </cols>
  <sheetData>
    <row r="1" spans="1:4" ht="20.65" x14ac:dyDescent="0.6">
      <c r="A1" s="7" t="s">
        <v>570</v>
      </c>
      <c r="B1" s="7"/>
      <c r="C1" s="7"/>
      <c r="D1" s="7"/>
    </row>
    <row r="2" spans="1:4" x14ac:dyDescent="0.45">
      <c r="A2" s="6"/>
      <c r="B2" s="6"/>
      <c r="C2" s="6"/>
      <c r="D2" s="6"/>
    </row>
    <row r="4" spans="1:4" ht="15" customHeight="1" x14ac:dyDescent="0.45">
      <c r="A4" s="1" t="s">
        <v>571</v>
      </c>
      <c r="B4" s="1"/>
      <c r="C4" s="1"/>
      <c r="D4" s="1"/>
    </row>
    <row r="5" spans="1:4" ht="13.5" customHeight="1" x14ac:dyDescent="0.45">
      <c r="A5" s="21" t="s">
        <v>62</v>
      </c>
      <c r="B5" s="2" t="s">
        <v>879</v>
      </c>
      <c r="C5" s="2"/>
      <c r="D5" s="2"/>
    </row>
    <row r="6" spans="1:4" ht="13.5" customHeight="1" x14ac:dyDescent="0.45">
      <c r="A6" s="21" t="s">
        <v>63</v>
      </c>
      <c r="B6" s="2" t="s">
        <v>337</v>
      </c>
      <c r="C6" s="2"/>
      <c r="D6" s="2"/>
    </row>
    <row r="7" spans="1:4" ht="13.5" customHeight="1" x14ac:dyDescent="0.45">
      <c r="A7" s="21" t="s">
        <v>25</v>
      </c>
      <c r="B7" s="2" t="s">
        <v>201</v>
      </c>
      <c r="C7" s="2"/>
      <c r="D7" s="2"/>
    </row>
    <row r="8" spans="1:4" ht="24" customHeight="1" x14ac:dyDescent="0.45">
      <c r="A8" s="21" t="s">
        <v>64</v>
      </c>
      <c r="B8" s="2" t="s">
        <v>338</v>
      </c>
      <c r="C8" s="2"/>
      <c r="D8" s="2"/>
    </row>
    <row r="9" spans="1:4" ht="13.5" customHeight="1" x14ac:dyDescent="0.45">
      <c r="A9" s="21" t="s">
        <v>65</v>
      </c>
      <c r="B9" s="2" t="s">
        <v>339</v>
      </c>
      <c r="C9" s="2"/>
      <c r="D9" s="2"/>
    </row>
    <row r="10" spans="1:4" ht="13.5" customHeight="1" x14ac:dyDescent="0.45">
      <c r="A10" s="21" t="s">
        <v>66</v>
      </c>
      <c r="B10" s="2" t="s">
        <v>340</v>
      </c>
      <c r="C10" s="2"/>
      <c r="D10" s="2"/>
    </row>
    <row r="11" spans="1:4" ht="13.5" customHeight="1" x14ac:dyDescent="0.45">
      <c r="A11" s="21" t="s">
        <v>67</v>
      </c>
      <c r="B11" s="2" t="s">
        <v>880</v>
      </c>
      <c r="C11" s="2"/>
      <c r="D11" s="2"/>
    </row>
    <row r="12" spans="1:4" ht="13.5" customHeight="1" x14ac:dyDescent="0.45">
      <c r="A12" s="21" t="s">
        <v>68</v>
      </c>
      <c r="B12" s="2" t="s">
        <v>341</v>
      </c>
      <c r="C12" s="2"/>
      <c r="D12" s="2"/>
    </row>
    <row r="13" spans="1:4" ht="13.5" customHeight="1" x14ac:dyDescent="0.45">
      <c r="A13" s="21" t="s">
        <v>69</v>
      </c>
      <c r="B13" s="2" t="s">
        <v>342</v>
      </c>
      <c r="C13" s="2"/>
      <c r="D13" s="2"/>
    </row>
    <row r="14" spans="1:4" ht="13.5" customHeight="1" x14ac:dyDescent="0.45">
      <c r="A14" s="21" t="s">
        <v>70</v>
      </c>
      <c r="B14" s="2" t="s">
        <v>343</v>
      </c>
      <c r="C14" s="2"/>
      <c r="D14" s="2"/>
    </row>
    <row r="15" spans="1:4" ht="13.5" customHeight="1" x14ac:dyDescent="0.45">
      <c r="A15" s="21" t="s">
        <v>543</v>
      </c>
      <c r="B15" s="2" t="s">
        <v>86</v>
      </c>
      <c r="C15" s="2"/>
      <c r="D15" s="2"/>
    </row>
    <row r="16" spans="1:4" ht="13.5" customHeight="1" x14ac:dyDescent="0.45">
      <c r="A16" s="21" t="s">
        <v>73</v>
      </c>
      <c r="B16" s="2" t="s">
        <v>97</v>
      </c>
      <c r="C16" s="2"/>
      <c r="D16" s="2"/>
    </row>
    <row r="17" spans="1:4" ht="13.5" customHeight="1" x14ac:dyDescent="0.45">
      <c r="A17" s="21" t="s">
        <v>544</v>
      </c>
      <c r="B17" s="2" t="s">
        <v>21</v>
      </c>
      <c r="C17" s="2"/>
      <c r="D17" s="2"/>
    </row>
    <row r="19" spans="1:4" ht="15" customHeight="1" x14ac:dyDescent="0.45">
      <c r="A19" s="1" t="s">
        <v>572</v>
      </c>
      <c r="B19" s="1"/>
      <c r="C19" s="1"/>
      <c r="D19" s="1"/>
    </row>
    <row r="20" spans="1:4" ht="13.5" customHeight="1" x14ac:dyDescent="0.45">
      <c r="A20" s="21" t="s">
        <v>62</v>
      </c>
      <c r="B20" s="2" t="s">
        <v>881</v>
      </c>
      <c r="C20" s="2"/>
      <c r="D20" s="2"/>
    </row>
    <row r="21" spans="1:4" ht="13.5" customHeight="1" x14ac:dyDescent="0.45">
      <c r="A21" s="21" t="s">
        <v>63</v>
      </c>
      <c r="B21" s="2" t="s">
        <v>346</v>
      </c>
      <c r="C21" s="2"/>
      <c r="D21" s="2"/>
    </row>
    <row r="22" spans="1:4" ht="13.5" customHeight="1" x14ac:dyDescent="0.45">
      <c r="A22" s="21" t="s">
        <v>25</v>
      </c>
      <c r="B22" s="2" t="s">
        <v>347</v>
      </c>
      <c r="C22" s="2"/>
      <c r="D22" s="2"/>
    </row>
    <row r="23" spans="1:4" ht="24" customHeight="1" x14ac:dyDescent="0.45">
      <c r="A23" s="21" t="s">
        <v>64</v>
      </c>
      <c r="B23" s="2" t="s">
        <v>348</v>
      </c>
      <c r="C23" s="2"/>
      <c r="D23" s="2"/>
    </row>
    <row r="24" spans="1:4" ht="24" customHeight="1" x14ac:dyDescent="0.45">
      <c r="A24" s="21" t="s">
        <v>65</v>
      </c>
      <c r="B24" s="2" t="s">
        <v>349</v>
      </c>
      <c r="C24" s="2"/>
      <c r="D24" s="2"/>
    </row>
    <row r="25" spans="1:4" ht="13.5" customHeight="1" x14ac:dyDescent="0.45">
      <c r="A25" s="21" t="s">
        <v>66</v>
      </c>
      <c r="B25" s="2" t="s">
        <v>350</v>
      </c>
      <c r="C25" s="2"/>
      <c r="D25" s="2"/>
    </row>
    <row r="26" spans="1:4" ht="13.5" customHeight="1" x14ac:dyDescent="0.45">
      <c r="A26" s="21" t="s">
        <v>67</v>
      </c>
      <c r="B26" s="2" t="s">
        <v>882</v>
      </c>
      <c r="C26" s="2"/>
      <c r="D26" s="2"/>
    </row>
    <row r="27" spans="1:4" ht="13.5" customHeight="1" x14ac:dyDescent="0.45">
      <c r="A27" s="21" t="s">
        <v>68</v>
      </c>
      <c r="B27" s="2" t="s">
        <v>351</v>
      </c>
      <c r="C27" s="2"/>
      <c r="D27" s="2"/>
    </row>
    <row r="28" spans="1:4" ht="13.5" customHeight="1" x14ac:dyDescent="0.45">
      <c r="A28" s="21" t="s">
        <v>69</v>
      </c>
      <c r="B28" s="2" t="s">
        <v>352</v>
      </c>
      <c r="C28" s="2"/>
      <c r="D28" s="2"/>
    </row>
    <row r="29" spans="1:4" ht="13.5" customHeight="1" x14ac:dyDescent="0.45">
      <c r="A29" s="21" t="s">
        <v>70</v>
      </c>
      <c r="B29" s="2" t="s">
        <v>353</v>
      </c>
      <c r="C29" s="2"/>
      <c r="D29" s="2"/>
    </row>
    <row r="30" spans="1:4" ht="13.5" customHeight="1" x14ac:dyDescent="0.45">
      <c r="A30" s="21" t="s">
        <v>543</v>
      </c>
      <c r="B30" s="2" t="s">
        <v>86</v>
      </c>
      <c r="C30" s="2"/>
      <c r="D30" s="2"/>
    </row>
    <row r="31" spans="1:4" ht="13.5" customHeight="1" x14ac:dyDescent="0.45">
      <c r="A31" s="21" t="s">
        <v>73</v>
      </c>
      <c r="B31" s="2" t="s">
        <v>97</v>
      </c>
      <c r="C31" s="2"/>
      <c r="D31" s="2"/>
    </row>
    <row r="32" spans="1:4" ht="13.5" customHeight="1" x14ac:dyDescent="0.45">
      <c r="A32" s="21" t="s">
        <v>544</v>
      </c>
      <c r="B32" s="2" t="s">
        <v>21</v>
      </c>
      <c r="C32" s="2"/>
      <c r="D32" s="2"/>
    </row>
    <row r="34" spans="1:4" ht="15" customHeight="1" x14ac:dyDescent="0.45">
      <c r="A34" s="1" t="s">
        <v>573</v>
      </c>
      <c r="B34" s="1"/>
      <c r="C34" s="1"/>
      <c r="D34" s="1"/>
    </row>
    <row r="35" spans="1:4" ht="13.5" customHeight="1" x14ac:dyDescent="0.45">
      <c r="A35" s="21" t="s">
        <v>62</v>
      </c>
      <c r="B35" s="2" t="s">
        <v>883</v>
      </c>
      <c r="C35" s="2"/>
      <c r="D35" s="2"/>
    </row>
    <row r="36" spans="1:4" ht="24" customHeight="1" x14ac:dyDescent="0.45">
      <c r="A36" s="21" t="s">
        <v>63</v>
      </c>
      <c r="B36" s="2" t="s">
        <v>356</v>
      </c>
      <c r="C36" s="2"/>
      <c r="D36" s="2"/>
    </row>
    <row r="37" spans="1:4" ht="13.5" customHeight="1" x14ac:dyDescent="0.45">
      <c r="A37" s="21" t="s">
        <v>25</v>
      </c>
      <c r="B37" s="2" t="s">
        <v>357</v>
      </c>
      <c r="C37" s="2"/>
      <c r="D37" s="2"/>
    </row>
    <row r="38" spans="1:4" ht="24" customHeight="1" x14ac:dyDescent="0.45">
      <c r="A38" s="21" t="s">
        <v>64</v>
      </c>
      <c r="B38" s="2" t="s">
        <v>358</v>
      </c>
      <c r="C38" s="2"/>
      <c r="D38" s="2"/>
    </row>
    <row r="39" spans="1:4" ht="13.5" customHeight="1" x14ac:dyDescent="0.45">
      <c r="A39" s="21" t="s">
        <v>65</v>
      </c>
      <c r="B39" s="2" t="s">
        <v>359</v>
      </c>
      <c r="C39" s="2"/>
      <c r="D39" s="2"/>
    </row>
    <row r="40" spans="1:4" ht="13.5" customHeight="1" x14ac:dyDescent="0.45">
      <c r="A40" s="21" t="s">
        <v>66</v>
      </c>
      <c r="B40" s="2" t="s">
        <v>360</v>
      </c>
      <c r="C40" s="2"/>
      <c r="D40" s="2"/>
    </row>
    <row r="41" spans="1:4" ht="13.5" customHeight="1" x14ac:dyDescent="0.45">
      <c r="A41" s="21" t="s">
        <v>67</v>
      </c>
      <c r="B41" s="2" t="s">
        <v>884</v>
      </c>
      <c r="C41" s="2"/>
      <c r="D41" s="2"/>
    </row>
    <row r="42" spans="1:4" ht="13.5" customHeight="1" x14ac:dyDescent="0.45">
      <c r="A42" s="21" t="s">
        <v>68</v>
      </c>
      <c r="B42" s="2" t="s">
        <v>361</v>
      </c>
      <c r="C42" s="2"/>
      <c r="D42" s="2"/>
    </row>
    <row r="43" spans="1:4" ht="24" customHeight="1" x14ac:dyDescent="0.45">
      <c r="A43" s="21" t="s">
        <v>69</v>
      </c>
      <c r="B43" s="2" t="s">
        <v>362</v>
      </c>
      <c r="C43" s="2"/>
      <c r="D43" s="2"/>
    </row>
    <row r="44" spans="1:4" ht="13.5" customHeight="1" x14ac:dyDescent="0.45">
      <c r="A44" s="21" t="s">
        <v>70</v>
      </c>
      <c r="B44" s="2" t="s">
        <v>363</v>
      </c>
      <c r="C44" s="2"/>
      <c r="D44" s="2"/>
    </row>
    <row r="45" spans="1:4" ht="13.5" customHeight="1" x14ac:dyDescent="0.45">
      <c r="A45" s="21" t="s">
        <v>543</v>
      </c>
      <c r="B45" s="2" t="s">
        <v>155</v>
      </c>
      <c r="C45" s="2"/>
      <c r="D45" s="2"/>
    </row>
    <row r="46" spans="1:4" ht="13.5" customHeight="1" x14ac:dyDescent="0.45">
      <c r="A46" s="21" t="s">
        <v>73</v>
      </c>
      <c r="B46" s="2" t="s">
        <v>98</v>
      </c>
      <c r="C46" s="2"/>
      <c r="D46" s="2"/>
    </row>
    <row r="47" spans="1:4" ht="13.5" customHeight="1" x14ac:dyDescent="0.45">
      <c r="A47" s="21" t="s">
        <v>544</v>
      </c>
      <c r="B47" s="2" t="s">
        <v>156</v>
      </c>
      <c r="C47" s="2"/>
      <c r="D47" s="2"/>
    </row>
    <row r="49" spans="1:4" ht="15" customHeight="1" x14ac:dyDescent="0.45">
      <c r="A49" s="1" t="s">
        <v>574</v>
      </c>
      <c r="B49" s="1"/>
      <c r="C49" s="1"/>
      <c r="D49" s="1"/>
    </row>
    <row r="50" spans="1:4" ht="13.5" customHeight="1" x14ac:dyDescent="0.45">
      <c r="A50" s="21" t="s">
        <v>62</v>
      </c>
      <c r="B50" s="2" t="s">
        <v>885</v>
      </c>
      <c r="C50" s="2"/>
      <c r="D50" s="2"/>
    </row>
    <row r="51" spans="1:4" ht="24" customHeight="1" x14ac:dyDescent="0.45">
      <c r="A51" s="21" t="s">
        <v>63</v>
      </c>
      <c r="B51" s="2" t="s">
        <v>366</v>
      </c>
      <c r="C51" s="2"/>
      <c r="D51" s="2"/>
    </row>
    <row r="52" spans="1:4" ht="13.5" customHeight="1" x14ac:dyDescent="0.45">
      <c r="A52" s="21" t="s">
        <v>25</v>
      </c>
      <c r="B52" s="2" t="s">
        <v>367</v>
      </c>
      <c r="C52" s="2"/>
      <c r="D52" s="2"/>
    </row>
    <row r="53" spans="1:4" ht="24" customHeight="1" x14ac:dyDescent="0.45">
      <c r="A53" s="21" t="s">
        <v>64</v>
      </c>
      <c r="B53" s="2" t="s">
        <v>368</v>
      </c>
      <c r="C53" s="2"/>
      <c r="D53" s="2"/>
    </row>
    <row r="54" spans="1:4" ht="13.5" customHeight="1" x14ac:dyDescent="0.45">
      <c r="A54" s="21" t="s">
        <v>65</v>
      </c>
      <c r="B54" s="2" t="s">
        <v>369</v>
      </c>
      <c r="C54" s="2"/>
      <c r="D54" s="2"/>
    </row>
    <row r="55" spans="1:4" ht="13.5" customHeight="1" x14ac:dyDescent="0.45">
      <c r="A55" s="21" t="s">
        <v>66</v>
      </c>
      <c r="B55" s="2" t="s">
        <v>370</v>
      </c>
      <c r="C55" s="2"/>
      <c r="D55" s="2"/>
    </row>
    <row r="56" spans="1:4" ht="13.5" customHeight="1" x14ac:dyDescent="0.45">
      <c r="A56" s="21" t="s">
        <v>67</v>
      </c>
      <c r="B56" s="2" t="s">
        <v>886</v>
      </c>
      <c r="C56" s="2"/>
      <c r="D56" s="2"/>
    </row>
    <row r="57" spans="1:4" ht="13.5" customHeight="1" x14ac:dyDescent="0.45">
      <c r="A57" s="21" t="s">
        <v>68</v>
      </c>
      <c r="B57" s="2" t="s">
        <v>371</v>
      </c>
      <c r="C57" s="2"/>
      <c r="D57" s="2"/>
    </row>
    <row r="58" spans="1:4" ht="24" customHeight="1" x14ac:dyDescent="0.45">
      <c r="A58" s="21" t="s">
        <v>69</v>
      </c>
      <c r="B58" s="2" t="s">
        <v>372</v>
      </c>
      <c r="C58" s="2"/>
      <c r="D58" s="2"/>
    </row>
    <row r="59" spans="1:4" ht="13.5" customHeight="1" x14ac:dyDescent="0.45">
      <c r="A59" s="21" t="s">
        <v>70</v>
      </c>
      <c r="B59" s="2" t="s">
        <v>373</v>
      </c>
      <c r="C59" s="2"/>
      <c r="D59" s="2"/>
    </row>
    <row r="60" spans="1:4" ht="13.5" customHeight="1" x14ac:dyDescent="0.45">
      <c r="A60" s="21" t="s">
        <v>543</v>
      </c>
      <c r="B60" s="2" t="s">
        <v>86</v>
      </c>
      <c r="C60" s="2"/>
      <c r="D60" s="2"/>
    </row>
    <row r="61" spans="1:4" ht="13.5" customHeight="1" x14ac:dyDescent="0.45">
      <c r="A61" s="21" t="s">
        <v>73</v>
      </c>
      <c r="B61" s="2" t="s">
        <v>98</v>
      </c>
      <c r="C61" s="2"/>
      <c r="D61" s="2"/>
    </row>
    <row r="62" spans="1:4" ht="13.5" customHeight="1" x14ac:dyDescent="0.45">
      <c r="A62" s="21" t="s">
        <v>544</v>
      </c>
      <c r="B62" s="2" t="s">
        <v>21</v>
      </c>
      <c r="C62" s="2"/>
      <c r="D62" s="2"/>
    </row>
    <row r="64" spans="1:4" ht="15" customHeight="1" x14ac:dyDescent="0.45">
      <c r="A64" s="1" t="s">
        <v>575</v>
      </c>
      <c r="B64" s="1"/>
      <c r="C64" s="1"/>
      <c r="D64" s="1"/>
    </row>
    <row r="65" spans="1:4" ht="13.5" customHeight="1" x14ac:dyDescent="0.45">
      <c r="A65" s="21" t="s">
        <v>62</v>
      </c>
      <c r="B65" s="2" t="s">
        <v>887</v>
      </c>
      <c r="C65" s="2"/>
      <c r="D65" s="2"/>
    </row>
    <row r="66" spans="1:4" ht="13.5" customHeight="1" x14ac:dyDescent="0.45">
      <c r="A66" s="21" t="s">
        <v>63</v>
      </c>
      <c r="B66" s="2" t="s">
        <v>376</v>
      </c>
      <c r="C66" s="2"/>
      <c r="D66" s="2"/>
    </row>
    <row r="67" spans="1:4" ht="13.5" customHeight="1" x14ac:dyDescent="0.45">
      <c r="A67" s="21" t="s">
        <v>25</v>
      </c>
      <c r="B67" s="2" t="s">
        <v>377</v>
      </c>
      <c r="C67" s="2"/>
      <c r="D67" s="2"/>
    </row>
    <row r="68" spans="1:4" ht="24" customHeight="1" x14ac:dyDescent="0.45">
      <c r="A68" s="21" t="s">
        <v>64</v>
      </c>
      <c r="B68" s="2" t="s">
        <v>378</v>
      </c>
      <c r="C68" s="2"/>
      <c r="D68" s="2"/>
    </row>
    <row r="69" spans="1:4" ht="24" customHeight="1" x14ac:dyDescent="0.45">
      <c r="A69" s="21" t="s">
        <v>65</v>
      </c>
      <c r="B69" s="2" t="s">
        <v>379</v>
      </c>
      <c r="C69" s="2"/>
      <c r="D69" s="2"/>
    </row>
    <row r="70" spans="1:4" ht="13.5" customHeight="1" x14ac:dyDescent="0.45">
      <c r="A70" s="21" t="s">
        <v>66</v>
      </c>
      <c r="B70" s="2" t="s">
        <v>380</v>
      </c>
      <c r="C70" s="2"/>
      <c r="D70" s="2"/>
    </row>
    <row r="71" spans="1:4" ht="13.5" customHeight="1" x14ac:dyDescent="0.45">
      <c r="A71" s="21" t="s">
        <v>67</v>
      </c>
      <c r="B71" s="2" t="s">
        <v>888</v>
      </c>
      <c r="C71" s="2"/>
      <c r="D71" s="2"/>
    </row>
    <row r="72" spans="1:4" ht="13.5" customHeight="1" x14ac:dyDescent="0.45">
      <c r="A72" s="21" t="s">
        <v>68</v>
      </c>
      <c r="B72" s="2" t="s">
        <v>381</v>
      </c>
      <c r="C72" s="2"/>
      <c r="D72" s="2"/>
    </row>
    <row r="73" spans="1:4" ht="24" customHeight="1" x14ac:dyDescent="0.45">
      <c r="A73" s="21" t="s">
        <v>69</v>
      </c>
      <c r="B73" s="2" t="s">
        <v>382</v>
      </c>
      <c r="C73" s="2"/>
      <c r="D73" s="2"/>
    </row>
    <row r="74" spans="1:4" ht="13.5" customHeight="1" x14ac:dyDescent="0.45">
      <c r="A74" s="21" t="s">
        <v>70</v>
      </c>
      <c r="B74" s="2" t="s">
        <v>383</v>
      </c>
      <c r="C74" s="2"/>
      <c r="D74" s="2"/>
    </row>
    <row r="75" spans="1:4" ht="13.5" customHeight="1" x14ac:dyDescent="0.45">
      <c r="A75" s="21" t="s">
        <v>543</v>
      </c>
      <c r="B75" s="2" t="s">
        <v>155</v>
      </c>
      <c r="C75" s="2"/>
      <c r="D75" s="2"/>
    </row>
    <row r="76" spans="1:4" ht="13.5" customHeight="1" x14ac:dyDescent="0.45">
      <c r="A76" s="21" t="s">
        <v>73</v>
      </c>
      <c r="B76" s="2" t="s">
        <v>98</v>
      </c>
      <c r="C76" s="2"/>
      <c r="D76" s="2"/>
    </row>
    <row r="77" spans="1:4" ht="13.5" customHeight="1" x14ac:dyDescent="0.45">
      <c r="A77" s="21" t="s">
        <v>544</v>
      </c>
      <c r="B77" s="2" t="s">
        <v>156</v>
      </c>
      <c r="C77" s="2"/>
      <c r="D77" s="2"/>
    </row>
    <row r="79" spans="1:4" ht="15" customHeight="1" x14ac:dyDescent="0.45">
      <c r="A79" s="1" t="s">
        <v>576</v>
      </c>
      <c r="B79" s="1"/>
      <c r="C79" s="1"/>
      <c r="D79" s="1"/>
    </row>
    <row r="80" spans="1:4" ht="13.5" customHeight="1" x14ac:dyDescent="0.45">
      <c r="A80" s="21" t="s">
        <v>62</v>
      </c>
      <c r="B80" s="2" t="s">
        <v>889</v>
      </c>
      <c r="C80" s="2"/>
      <c r="D80" s="2"/>
    </row>
    <row r="81" spans="1:4" ht="13.5" customHeight="1" x14ac:dyDescent="0.45">
      <c r="A81" s="21" t="s">
        <v>63</v>
      </c>
      <c r="B81" s="2" t="s">
        <v>386</v>
      </c>
      <c r="C81" s="2"/>
      <c r="D81" s="2"/>
    </row>
    <row r="82" spans="1:4" ht="13.5" customHeight="1" x14ac:dyDescent="0.45">
      <c r="A82" s="21" t="s">
        <v>25</v>
      </c>
      <c r="B82" s="2" t="s">
        <v>212</v>
      </c>
      <c r="C82" s="2"/>
      <c r="D82" s="2"/>
    </row>
    <row r="83" spans="1:4" ht="24" customHeight="1" x14ac:dyDescent="0.45">
      <c r="A83" s="21" t="s">
        <v>64</v>
      </c>
      <c r="B83" s="2" t="s">
        <v>387</v>
      </c>
      <c r="C83" s="2"/>
      <c r="D83" s="2"/>
    </row>
    <row r="84" spans="1:4" ht="24" customHeight="1" x14ac:dyDescent="0.45">
      <c r="A84" s="21" t="s">
        <v>65</v>
      </c>
      <c r="B84" s="2" t="s">
        <v>388</v>
      </c>
      <c r="C84" s="2"/>
      <c r="D84" s="2"/>
    </row>
    <row r="85" spans="1:4" ht="13.5" customHeight="1" x14ac:dyDescent="0.45">
      <c r="A85" s="21" t="s">
        <v>66</v>
      </c>
      <c r="B85" s="2" t="s">
        <v>389</v>
      </c>
      <c r="C85" s="2"/>
      <c r="D85" s="2"/>
    </row>
    <row r="86" spans="1:4" ht="13.5" customHeight="1" x14ac:dyDescent="0.45">
      <c r="A86" s="21" t="s">
        <v>67</v>
      </c>
      <c r="B86" s="2" t="s">
        <v>890</v>
      </c>
      <c r="C86" s="2"/>
      <c r="D86" s="2"/>
    </row>
    <row r="87" spans="1:4" ht="13.5" customHeight="1" x14ac:dyDescent="0.45">
      <c r="A87" s="21" t="s">
        <v>68</v>
      </c>
      <c r="B87" s="2" t="s">
        <v>390</v>
      </c>
      <c r="C87" s="2"/>
      <c r="D87" s="2"/>
    </row>
    <row r="88" spans="1:4" ht="13.5" customHeight="1" x14ac:dyDescent="0.45">
      <c r="A88" s="21" t="s">
        <v>69</v>
      </c>
      <c r="B88" s="2" t="s">
        <v>391</v>
      </c>
      <c r="C88" s="2"/>
      <c r="D88" s="2"/>
    </row>
    <row r="89" spans="1:4" ht="13.5" customHeight="1" x14ac:dyDescent="0.45">
      <c r="A89" s="21" t="s">
        <v>70</v>
      </c>
      <c r="B89" s="2" t="s">
        <v>392</v>
      </c>
      <c r="C89" s="2"/>
      <c r="D89" s="2"/>
    </row>
    <row r="90" spans="1:4" ht="13.5" customHeight="1" x14ac:dyDescent="0.45">
      <c r="A90" s="21" t="s">
        <v>543</v>
      </c>
      <c r="B90" s="2" t="s">
        <v>155</v>
      </c>
      <c r="C90" s="2"/>
      <c r="D90" s="2"/>
    </row>
    <row r="91" spans="1:4" ht="13.5" customHeight="1" x14ac:dyDescent="0.45">
      <c r="A91" s="21" t="s">
        <v>73</v>
      </c>
      <c r="B91" s="2" t="s">
        <v>86</v>
      </c>
      <c r="C91" s="2"/>
      <c r="D91" s="2"/>
    </row>
    <row r="92" spans="1:4" ht="13.5" customHeight="1" x14ac:dyDescent="0.45">
      <c r="A92" s="21" t="s">
        <v>544</v>
      </c>
      <c r="B92" s="2" t="s">
        <v>156</v>
      </c>
      <c r="C92" s="2"/>
      <c r="D92" s="2"/>
    </row>
    <row r="94" spans="1:4" ht="15" customHeight="1" x14ac:dyDescent="0.45">
      <c r="A94" s="1" t="s">
        <v>577</v>
      </c>
      <c r="B94" s="1"/>
      <c r="C94" s="1"/>
      <c r="D94" s="1"/>
    </row>
    <row r="95" spans="1:4" ht="13.5" customHeight="1" x14ac:dyDescent="0.45">
      <c r="A95" s="21" t="s">
        <v>62</v>
      </c>
      <c r="B95" s="2" t="s">
        <v>891</v>
      </c>
      <c r="C95" s="2"/>
      <c r="D95" s="2"/>
    </row>
    <row r="96" spans="1:4" ht="13.5" customHeight="1" x14ac:dyDescent="0.45">
      <c r="A96" s="21" t="s">
        <v>63</v>
      </c>
      <c r="B96" s="2" t="s">
        <v>395</v>
      </c>
      <c r="C96" s="2"/>
      <c r="D96" s="2"/>
    </row>
    <row r="97" spans="1:4" ht="13.5" customHeight="1" x14ac:dyDescent="0.45">
      <c r="A97" s="21" t="s">
        <v>25</v>
      </c>
      <c r="B97" s="2" t="s">
        <v>396</v>
      </c>
      <c r="C97" s="2"/>
      <c r="D97" s="2"/>
    </row>
    <row r="98" spans="1:4" ht="24" customHeight="1" x14ac:dyDescent="0.45">
      <c r="A98" s="21" t="s">
        <v>64</v>
      </c>
      <c r="B98" s="2" t="s">
        <v>397</v>
      </c>
      <c r="C98" s="2"/>
      <c r="D98" s="2"/>
    </row>
    <row r="99" spans="1:4" ht="13.5" customHeight="1" x14ac:dyDescent="0.45">
      <c r="A99" s="21" t="s">
        <v>65</v>
      </c>
      <c r="B99" s="2" t="s">
        <v>398</v>
      </c>
      <c r="C99" s="2"/>
      <c r="D99" s="2"/>
    </row>
    <row r="100" spans="1:4" ht="13.5" customHeight="1" x14ac:dyDescent="0.45">
      <c r="A100" s="21" t="s">
        <v>66</v>
      </c>
      <c r="B100" s="2" t="s">
        <v>399</v>
      </c>
      <c r="C100" s="2"/>
      <c r="D100" s="2"/>
    </row>
    <row r="101" spans="1:4" ht="13.5" customHeight="1" x14ac:dyDescent="0.45">
      <c r="A101" s="21" t="s">
        <v>67</v>
      </c>
      <c r="B101" s="2" t="s">
        <v>892</v>
      </c>
      <c r="C101" s="2"/>
      <c r="D101" s="2"/>
    </row>
    <row r="102" spans="1:4" ht="13.5" customHeight="1" x14ac:dyDescent="0.45">
      <c r="A102" s="21" t="s">
        <v>68</v>
      </c>
      <c r="B102" s="2" t="s">
        <v>400</v>
      </c>
      <c r="C102" s="2"/>
      <c r="D102" s="2"/>
    </row>
    <row r="103" spans="1:4" ht="24" customHeight="1" x14ac:dyDescent="0.45">
      <c r="A103" s="21" t="s">
        <v>69</v>
      </c>
      <c r="B103" s="2" t="s">
        <v>401</v>
      </c>
      <c r="C103" s="2"/>
      <c r="D103" s="2"/>
    </row>
    <row r="104" spans="1:4" ht="13.5" customHeight="1" x14ac:dyDescent="0.45">
      <c r="A104" s="21" t="s">
        <v>70</v>
      </c>
      <c r="B104" s="2" t="s">
        <v>402</v>
      </c>
      <c r="C104" s="2"/>
      <c r="D104" s="2"/>
    </row>
    <row r="105" spans="1:4" ht="13.5" customHeight="1" x14ac:dyDescent="0.45">
      <c r="A105" s="21" t="s">
        <v>543</v>
      </c>
      <c r="B105" s="2" t="s">
        <v>155</v>
      </c>
      <c r="C105" s="2"/>
      <c r="D105" s="2"/>
    </row>
    <row r="106" spans="1:4" ht="13.5" customHeight="1" x14ac:dyDescent="0.45">
      <c r="A106" s="21" t="s">
        <v>73</v>
      </c>
      <c r="B106" s="2" t="s">
        <v>97</v>
      </c>
      <c r="C106" s="2"/>
      <c r="D106" s="2"/>
    </row>
    <row r="107" spans="1:4" ht="13.5" customHeight="1" x14ac:dyDescent="0.45">
      <c r="A107" s="21" t="s">
        <v>544</v>
      </c>
      <c r="B107" s="2" t="s">
        <v>156</v>
      </c>
      <c r="C107" s="2"/>
      <c r="D107" s="2"/>
    </row>
    <row r="109" spans="1:4" ht="15" customHeight="1" x14ac:dyDescent="0.45">
      <c r="A109" s="1" t="s">
        <v>578</v>
      </c>
      <c r="B109" s="1"/>
      <c r="C109" s="1"/>
      <c r="D109" s="1"/>
    </row>
    <row r="110" spans="1:4" ht="13.5" customHeight="1" x14ac:dyDescent="0.45">
      <c r="A110" s="21" t="s">
        <v>62</v>
      </c>
      <c r="B110" s="2" t="s">
        <v>893</v>
      </c>
      <c r="C110" s="2"/>
      <c r="D110" s="2"/>
    </row>
    <row r="111" spans="1:4" ht="13.5" customHeight="1" x14ac:dyDescent="0.45">
      <c r="A111" s="21" t="s">
        <v>63</v>
      </c>
      <c r="B111" s="2" t="s">
        <v>405</v>
      </c>
      <c r="C111" s="2"/>
      <c r="D111" s="2"/>
    </row>
    <row r="112" spans="1:4" ht="13.5" customHeight="1" x14ac:dyDescent="0.45">
      <c r="A112" s="21" t="s">
        <v>25</v>
      </c>
      <c r="B112" s="2" t="s">
        <v>406</v>
      </c>
      <c r="C112" s="2"/>
      <c r="D112" s="2"/>
    </row>
    <row r="113" spans="1:4" ht="24" customHeight="1" x14ac:dyDescent="0.45">
      <c r="A113" s="21" t="s">
        <v>64</v>
      </c>
      <c r="B113" s="2" t="s">
        <v>407</v>
      </c>
      <c r="C113" s="2"/>
      <c r="D113" s="2"/>
    </row>
    <row r="114" spans="1:4" ht="13.5" customHeight="1" x14ac:dyDescent="0.45">
      <c r="A114" s="21" t="s">
        <v>65</v>
      </c>
      <c r="B114" s="2" t="s">
        <v>408</v>
      </c>
      <c r="C114" s="2"/>
      <c r="D114" s="2"/>
    </row>
    <row r="115" spans="1:4" ht="13.5" customHeight="1" x14ac:dyDescent="0.45">
      <c r="A115" s="21" t="s">
        <v>66</v>
      </c>
      <c r="B115" s="2" t="s">
        <v>409</v>
      </c>
      <c r="C115" s="2"/>
      <c r="D115" s="2"/>
    </row>
    <row r="116" spans="1:4" ht="13.5" customHeight="1" x14ac:dyDescent="0.45">
      <c r="A116" s="21" t="s">
        <v>67</v>
      </c>
      <c r="B116" s="2" t="s">
        <v>894</v>
      </c>
      <c r="C116" s="2"/>
      <c r="D116" s="2"/>
    </row>
    <row r="117" spans="1:4" ht="13.5" customHeight="1" x14ac:dyDescent="0.45">
      <c r="A117" s="21" t="s">
        <v>68</v>
      </c>
      <c r="B117" s="2" t="s">
        <v>410</v>
      </c>
      <c r="C117" s="2"/>
      <c r="D117" s="2"/>
    </row>
    <row r="118" spans="1:4" ht="24" customHeight="1" x14ac:dyDescent="0.45">
      <c r="A118" s="21" t="s">
        <v>69</v>
      </c>
      <c r="B118" s="2" t="s">
        <v>411</v>
      </c>
      <c r="C118" s="2"/>
      <c r="D118" s="2"/>
    </row>
    <row r="119" spans="1:4" ht="13.5" customHeight="1" x14ac:dyDescent="0.45">
      <c r="A119" s="21" t="s">
        <v>70</v>
      </c>
      <c r="B119" s="2" t="s">
        <v>412</v>
      </c>
      <c r="C119" s="2"/>
      <c r="D119" s="2"/>
    </row>
    <row r="120" spans="1:4" ht="13.5" customHeight="1" x14ac:dyDescent="0.45">
      <c r="A120" s="21" t="s">
        <v>543</v>
      </c>
      <c r="B120" s="2" t="s">
        <v>97</v>
      </c>
      <c r="C120" s="2"/>
      <c r="D120" s="2"/>
    </row>
    <row r="121" spans="1:4" ht="13.5" customHeight="1" x14ac:dyDescent="0.45">
      <c r="A121" s="21" t="s">
        <v>73</v>
      </c>
      <c r="B121" s="2" t="s">
        <v>413</v>
      </c>
      <c r="C121" s="2"/>
      <c r="D121" s="2"/>
    </row>
    <row r="122" spans="1:4" ht="13.5" customHeight="1" x14ac:dyDescent="0.45">
      <c r="A122" s="21" t="s">
        <v>544</v>
      </c>
      <c r="B122" s="2" t="s">
        <v>23</v>
      </c>
      <c r="C122" s="2"/>
      <c r="D122" s="2"/>
    </row>
    <row r="124" spans="1:4" ht="15" customHeight="1" x14ac:dyDescent="0.45">
      <c r="A124" s="1" t="s">
        <v>579</v>
      </c>
      <c r="B124" s="1"/>
      <c r="C124" s="1"/>
      <c r="D124" s="1"/>
    </row>
    <row r="125" spans="1:4" ht="24" customHeight="1" x14ac:dyDescent="0.45">
      <c r="A125" s="21" t="s">
        <v>62</v>
      </c>
      <c r="B125" s="2" t="s">
        <v>416</v>
      </c>
      <c r="C125" s="2"/>
      <c r="D125" s="2"/>
    </row>
    <row r="126" spans="1:4" ht="13.5" customHeight="1" x14ac:dyDescent="0.45">
      <c r="A126" s="21" t="s">
        <v>63</v>
      </c>
      <c r="B126" s="2" t="s">
        <v>417</v>
      </c>
      <c r="C126" s="2"/>
      <c r="D126" s="2"/>
    </row>
    <row r="127" spans="1:4" ht="13.5" customHeight="1" x14ac:dyDescent="0.45">
      <c r="A127" s="21" t="s">
        <v>25</v>
      </c>
      <c r="B127" s="2" t="s">
        <v>418</v>
      </c>
      <c r="C127" s="2"/>
      <c r="D127" s="2"/>
    </row>
    <row r="128" spans="1:4" ht="24" customHeight="1" x14ac:dyDescent="0.45">
      <c r="A128" s="21" t="s">
        <v>64</v>
      </c>
      <c r="B128" s="2" t="s">
        <v>419</v>
      </c>
      <c r="C128" s="2"/>
      <c r="D128" s="2"/>
    </row>
    <row r="129" spans="1:4" ht="24" customHeight="1" x14ac:dyDescent="0.45">
      <c r="A129" s="21" t="s">
        <v>65</v>
      </c>
      <c r="B129" s="2" t="s">
        <v>420</v>
      </c>
      <c r="C129" s="2"/>
      <c r="D129" s="2"/>
    </row>
    <row r="130" spans="1:4" ht="13.5" customHeight="1" x14ac:dyDescent="0.45">
      <c r="A130" s="21" t="s">
        <v>66</v>
      </c>
      <c r="B130" s="2" t="s">
        <v>421</v>
      </c>
      <c r="C130" s="2"/>
      <c r="D130" s="2"/>
    </row>
    <row r="131" spans="1:4" ht="24" customHeight="1" x14ac:dyDescent="0.45">
      <c r="A131" s="21" t="s">
        <v>67</v>
      </c>
      <c r="B131" s="2" t="s">
        <v>422</v>
      </c>
      <c r="C131" s="2"/>
      <c r="D131" s="2"/>
    </row>
    <row r="132" spans="1:4" ht="13.5" customHeight="1" x14ac:dyDescent="0.45">
      <c r="A132" s="21" t="s">
        <v>68</v>
      </c>
      <c r="B132" s="2" t="s">
        <v>423</v>
      </c>
      <c r="C132" s="2"/>
      <c r="D132" s="2"/>
    </row>
    <row r="133" spans="1:4" ht="24" customHeight="1" x14ac:dyDescent="0.45">
      <c r="A133" s="21" t="s">
        <v>69</v>
      </c>
      <c r="B133" s="2" t="s">
        <v>424</v>
      </c>
      <c r="C133" s="2"/>
      <c r="D133" s="2"/>
    </row>
    <row r="134" spans="1:4" ht="13.5" customHeight="1" x14ac:dyDescent="0.45">
      <c r="A134" s="21" t="s">
        <v>70</v>
      </c>
      <c r="B134" s="2" t="s">
        <v>425</v>
      </c>
      <c r="C134" s="2"/>
      <c r="D134" s="2"/>
    </row>
    <row r="135" spans="1:4" ht="13.5" customHeight="1" x14ac:dyDescent="0.45">
      <c r="A135" s="21" t="s">
        <v>543</v>
      </c>
      <c r="B135" s="2" t="s">
        <v>86</v>
      </c>
      <c r="C135" s="2"/>
      <c r="D135" s="2"/>
    </row>
    <row r="136" spans="1:4" ht="13.5" customHeight="1" x14ac:dyDescent="0.45">
      <c r="A136" s="21" t="s">
        <v>73</v>
      </c>
      <c r="B136" s="2" t="s">
        <v>98</v>
      </c>
      <c r="C136" s="2"/>
      <c r="D136" s="2"/>
    </row>
    <row r="137" spans="1:4" ht="13.5" customHeight="1" x14ac:dyDescent="0.45">
      <c r="A137" s="21" t="s">
        <v>544</v>
      </c>
      <c r="B137" s="2" t="s">
        <v>22</v>
      </c>
      <c r="C137" s="2"/>
      <c r="D137" s="2"/>
    </row>
    <row r="139" spans="1:4" ht="15" customHeight="1" x14ac:dyDescent="0.45">
      <c r="A139" s="1" t="s">
        <v>580</v>
      </c>
      <c r="B139" s="1"/>
      <c r="C139" s="1"/>
      <c r="D139" s="1"/>
    </row>
    <row r="140" spans="1:4" ht="13.5" customHeight="1" x14ac:dyDescent="0.45">
      <c r="A140" s="21" t="s">
        <v>62</v>
      </c>
      <c r="B140" s="2" t="s">
        <v>895</v>
      </c>
      <c r="C140" s="2"/>
      <c r="D140" s="2"/>
    </row>
    <row r="141" spans="1:4" ht="13.5" customHeight="1" x14ac:dyDescent="0.45">
      <c r="A141" s="21" t="s">
        <v>63</v>
      </c>
      <c r="B141" s="2" t="s">
        <v>428</v>
      </c>
      <c r="C141" s="2"/>
      <c r="D141" s="2"/>
    </row>
    <row r="142" spans="1:4" ht="13.5" customHeight="1" x14ac:dyDescent="0.45">
      <c r="A142" s="21" t="s">
        <v>25</v>
      </c>
      <c r="B142" s="2" t="s">
        <v>429</v>
      </c>
      <c r="C142" s="2"/>
      <c r="D142" s="2"/>
    </row>
    <row r="143" spans="1:4" ht="24" customHeight="1" x14ac:dyDescent="0.45">
      <c r="A143" s="21" t="s">
        <v>64</v>
      </c>
      <c r="B143" s="2" t="s">
        <v>430</v>
      </c>
      <c r="C143" s="2"/>
      <c r="D143" s="2"/>
    </row>
    <row r="144" spans="1:4" ht="13.5" customHeight="1" x14ac:dyDescent="0.45">
      <c r="A144" s="21" t="s">
        <v>65</v>
      </c>
      <c r="B144" s="2" t="s">
        <v>431</v>
      </c>
      <c r="C144" s="2"/>
      <c r="D144" s="2"/>
    </row>
    <row r="145" spans="1:4" ht="13.5" customHeight="1" x14ac:dyDescent="0.45">
      <c r="A145" s="21" t="s">
        <v>66</v>
      </c>
      <c r="B145" s="2" t="s">
        <v>432</v>
      </c>
      <c r="C145" s="2"/>
      <c r="D145" s="2"/>
    </row>
    <row r="146" spans="1:4" ht="13.5" customHeight="1" x14ac:dyDescent="0.45">
      <c r="A146" s="21" t="s">
        <v>67</v>
      </c>
      <c r="B146" s="2" t="s">
        <v>896</v>
      </c>
      <c r="C146" s="2"/>
      <c r="D146" s="2"/>
    </row>
    <row r="147" spans="1:4" ht="13.5" customHeight="1" x14ac:dyDescent="0.45">
      <c r="A147" s="21" t="s">
        <v>68</v>
      </c>
      <c r="B147" s="2" t="s">
        <v>433</v>
      </c>
      <c r="C147" s="2"/>
      <c r="D147" s="2"/>
    </row>
    <row r="148" spans="1:4" ht="13.5" customHeight="1" x14ac:dyDescent="0.45">
      <c r="A148" s="21" t="s">
        <v>69</v>
      </c>
      <c r="B148" s="2" t="s">
        <v>434</v>
      </c>
      <c r="C148" s="2"/>
      <c r="D148" s="2"/>
    </row>
    <row r="149" spans="1:4" ht="13.5" customHeight="1" x14ac:dyDescent="0.45">
      <c r="A149" s="21" t="s">
        <v>70</v>
      </c>
      <c r="B149" s="2" t="s">
        <v>435</v>
      </c>
      <c r="C149" s="2"/>
      <c r="D149" s="2"/>
    </row>
    <row r="150" spans="1:4" ht="13.5" customHeight="1" x14ac:dyDescent="0.45">
      <c r="A150" s="21" t="s">
        <v>543</v>
      </c>
      <c r="B150" s="2" t="s">
        <v>155</v>
      </c>
      <c r="C150" s="2"/>
      <c r="D150" s="2"/>
    </row>
    <row r="151" spans="1:4" ht="13.5" customHeight="1" x14ac:dyDescent="0.45">
      <c r="A151" s="21" t="s">
        <v>73</v>
      </c>
      <c r="B151" s="2" t="s">
        <v>98</v>
      </c>
      <c r="C151" s="2"/>
      <c r="D151" s="2"/>
    </row>
    <row r="152" spans="1:4" ht="13.5" customHeight="1" x14ac:dyDescent="0.45">
      <c r="A152" s="21" t="s">
        <v>544</v>
      </c>
      <c r="B152" s="2" t="s">
        <v>21</v>
      </c>
      <c r="C152" s="2"/>
      <c r="D152" s="2"/>
    </row>
    <row r="154" spans="1:4" ht="15" customHeight="1" x14ac:dyDescent="0.45">
      <c r="A154" s="1" t="s">
        <v>581</v>
      </c>
      <c r="B154" s="1"/>
      <c r="C154" s="1"/>
      <c r="D154" s="1"/>
    </row>
    <row r="155" spans="1:4" ht="13.5" customHeight="1" x14ac:dyDescent="0.45">
      <c r="A155" s="21" t="s">
        <v>62</v>
      </c>
      <c r="B155" s="2" t="s">
        <v>897</v>
      </c>
      <c r="C155" s="2"/>
      <c r="D155" s="2"/>
    </row>
    <row r="156" spans="1:4" ht="24" customHeight="1" x14ac:dyDescent="0.45">
      <c r="A156" s="21" t="s">
        <v>63</v>
      </c>
      <c r="B156" s="2" t="s">
        <v>438</v>
      </c>
      <c r="C156" s="2"/>
      <c r="D156" s="2"/>
    </row>
    <row r="157" spans="1:4" ht="13.5" customHeight="1" x14ac:dyDescent="0.45">
      <c r="A157" s="21" t="s">
        <v>25</v>
      </c>
      <c r="B157" s="2" t="s">
        <v>439</v>
      </c>
      <c r="C157" s="2"/>
      <c r="D157" s="2"/>
    </row>
    <row r="158" spans="1:4" ht="24" customHeight="1" x14ac:dyDescent="0.45">
      <c r="A158" s="21" t="s">
        <v>64</v>
      </c>
      <c r="B158" s="2" t="s">
        <v>440</v>
      </c>
      <c r="C158" s="2"/>
      <c r="D158" s="2"/>
    </row>
    <row r="159" spans="1:4" ht="13.5" customHeight="1" x14ac:dyDescent="0.45">
      <c r="A159" s="21" t="s">
        <v>65</v>
      </c>
      <c r="B159" s="2" t="s">
        <v>441</v>
      </c>
      <c r="C159" s="2"/>
      <c r="D159" s="2"/>
    </row>
    <row r="160" spans="1:4" ht="13.5" customHeight="1" x14ac:dyDescent="0.45">
      <c r="A160" s="21" t="s">
        <v>66</v>
      </c>
      <c r="B160" s="2" t="s">
        <v>442</v>
      </c>
      <c r="C160" s="2"/>
      <c r="D160" s="2"/>
    </row>
    <row r="161" spans="1:4" ht="13.5" customHeight="1" x14ac:dyDescent="0.45">
      <c r="A161" s="21" t="s">
        <v>67</v>
      </c>
      <c r="B161" s="2" t="s">
        <v>898</v>
      </c>
      <c r="C161" s="2"/>
      <c r="D161" s="2"/>
    </row>
    <row r="162" spans="1:4" ht="13.5" customHeight="1" x14ac:dyDescent="0.45">
      <c r="A162" s="21" t="s">
        <v>68</v>
      </c>
      <c r="B162" s="2" t="s">
        <v>390</v>
      </c>
      <c r="C162" s="2"/>
      <c r="D162" s="2"/>
    </row>
    <row r="163" spans="1:4" ht="24" customHeight="1" x14ac:dyDescent="0.45">
      <c r="A163" s="21" t="s">
        <v>69</v>
      </c>
      <c r="B163" s="2" t="s">
        <v>443</v>
      </c>
      <c r="C163" s="2"/>
      <c r="D163" s="2"/>
    </row>
    <row r="164" spans="1:4" ht="13.5" customHeight="1" x14ac:dyDescent="0.45">
      <c r="A164" s="21" t="s">
        <v>70</v>
      </c>
      <c r="B164" s="2" t="s">
        <v>444</v>
      </c>
      <c r="C164" s="2"/>
      <c r="D164" s="2"/>
    </row>
    <row r="165" spans="1:4" ht="13.5" customHeight="1" x14ac:dyDescent="0.45">
      <c r="A165" s="21" t="s">
        <v>543</v>
      </c>
      <c r="B165" s="2" t="s">
        <v>177</v>
      </c>
      <c r="C165" s="2"/>
      <c r="D165" s="2"/>
    </row>
    <row r="166" spans="1:4" ht="13.5" customHeight="1" x14ac:dyDescent="0.45">
      <c r="A166" s="21" t="s">
        <v>73</v>
      </c>
      <c r="B166" s="2" t="s">
        <v>97</v>
      </c>
      <c r="C166" s="2"/>
      <c r="D166" s="2"/>
    </row>
    <row r="167" spans="1:4" ht="13.5" customHeight="1" x14ac:dyDescent="0.45">
      <c r="A167" s="21" t="s">
        <v>544</v>
      </c>
      <c r="B167" s="2" t="s">
        <v>156</v>
      </c>
      <c r="C167" s="2"/>
      <c r="D167" s="2"/>
    </row>
    <row r="169" spans="1:4" ht="15" customHeight="1" x14ac:dyDescent="0.45">
      <c r="A169" s="1" t="s">
        <v>582</v>
      </c>
      <c r="B169" s="1"/>
      <c r="C169" s="1"/>
      <c r="D169" s="1"/>
    </row>
    <row r="170" spans="1:4" ht="13.5" customHeight="1" x14ac:dyDescent="0.45">
      <c r="A170" s="21" t="s">
        <v>62</v>
      </c>
      <c r="B170" s="2" t="s">
        <v>899</v>
      </c>
      <c r="C170" s="2"/>
      <c r="D170" s="2"/>
    </row>
    <row r="171" spans="1:4" ht="13.5" customHeight="1" x14ac:dyDescent="0.45">
      <c r="A171" s="21" t="s">
        <v>63</v>
      </c>
      <c r="B171" s="2" t="s">
        <v>447</v>
      </c>
      <c r="C171" s="2"/>
      <c r="D171" s="2"/>
    </row>
    <row r="172" spans="1:4" ht="13.5" customHeight="1" x14ac:dyDescent="0.45">
      <c r="A172" s="21" t="s">
        <v>25</v>
      </c>
      <c r="B172" s="2" t="s">
        <v>448</v>
      </c>
      <c r="C172" s="2"/>
      <c r="D172" s="2"/>
    </row>
    <row r="173" spans="1:4" ht="13.5" customHeight="1" x14ac:dyDescent="0.45">
      <c r="A173" s="21" t="s">
        <v>64</v>
      </c>
      <c r="B173" s="2" t="s">
        <v>449</v>
      </c>
      <c r="C173" s="2"/>
      <c r="D173" s="2"/>
    </row>
    <row r="174" spans="1:4" ht="13.5" customHeight="1" x14ac:dyDescent="0.45">
      <c r="A174" s="21" t="s">
        <v>65</v>
      </c>
      <c r="B174" s="2" t="s">
        <v>450</v>
      </c>
      <c r="C174" s="2"/>
      <c r="D174" s="2"/>
    </row>
    <row r="175" spans="1:4" ht="13.5" customHeight="1" x14ac:dyDescent="0.45">
      <c r="A175" s="21" t="s">
        <v>66</v>
      </c>
      <c r="B175" s="2" t="s">
        <v>451</v>
      </c>
      <c r="C175" s="2"/>
      <c r="D175" s="2"/>
    </row>
    <row r="176" spans="1:4" ht="13.5" customHeight="1" x14ac:dyDescent="0.45">
      <c r="A176" s="21" t="s">
        <v>67</v>
      </c>
      <c r="B176" s="2" t="s">
        <v>900</v>
      </c>
      <c r="C176" s="2"/>
      <c r="D176" s="2"/>
    </row>
    <row r="177" spans="1:4" ht="13.5" customHeight="1" x14ac:dyDescent="0.45">
      <c r="A177" s="21" t="s">
        <v>68</v>
      </c>
      <c r="B177" s="2" t="s">
        <v>452</v>
      </c>
      <c r="C177" s="2"/>
      <c r="D177" s="2"/>
    </row>
    <row r="178" spans="1:4" ht="24" customHeight="1" x14ac:dyDescent="0.45">
      <c r="A178" s="21" t="s">
        <v>69</v>
      </c>
      <c r="B178" s="2" t="s">
        <v>453</v>
      </c>
      <c r="C178" s="2"/>
      <c r="D178" s="2"/>
    </row>
    <row r="179" spans="1:4" ht="13.5" customHeight="1" x14ac:dyDescent="0.45">
      <c r="A179" s="21" t="s">
        <v>70</v>
      </c>
      <c r="B179" s="2" t="s">
        <v>454</v>
      </c>
      <c r="C179" s="2"/>
      <c r="D179" s="2"/>
    </row>
    <row r="180" spans="1:4" ht="13.5" customHeight="1" x14ac:dyDescent="0.45">
      <c r="A180" s="21" t="s">
        <v>543</v>
      </c>
      <c r="B180" s="2" t="s">
        <v>86</v>
      </c>
      <c r="C180" s="2"/>
      <c r="D180" s="2"/>
    </row>
    <row r="181" spans="1:4" ht="13.5" customHeight="1" x14ac:dyDescent="0.45">
      <c r="A181" s="21" t="s">
        <v>73</v>
      </c>
      <c r="B181" s="2" t="s">
        <v>97</v>
      </c>
      <c r="C181" s="2"/>
      <c r="D181" s="2"/>
    </row>
    <row r="182" spans="1:4" ht="13.5" customHeight="1" x14ac:dyDescent="0.45">
      <c r="A182" s="21" t="s">
        <v>544</v>
      </c>
      <c r="B182" s="2" t="s">
        <v>21</v>
      </c>
      <c r="C182" s="2"/>
      <c r="D182" s="2"/>
    </row>
    <row r="184" spans="1:4" ht="15" customHeight="1" x14ac:dyDescent="0.45">
      <c r="A184" s="1" t="s">
        <v>583</v>
      </c>
      <c r="B184" s="1"/>
      <c r="C184" s="1"/>
      <c r="D184" s="1"/>
    </row>
    <row r="185" spans="1:4" ht="13.5" customHeight="1" x14ac:dyDescent="0.45">
      <c r="A185" s="21" t="s">
        <v>62</v>
      </c>
      <c r="B185" s="2" t="s">
        <v>901</v>
      </c>
      <c r="C185" s="2"/>
      <c r="D185" s="2"/>
    </row>
    <row r="186" spans="1:4" ht="13.5" customHeight="1" x14ac:dyDescent="0.45">
      <c r="A186" s="21" t="s">
        <v>63</v>
      </c>
      <c r="B186" s="2" t="s">
        <v>457</v>
      </c>
      <c r="C186" s="2"/>
      <c r="D186" s="2"/>
    </row>
    <row r="187" spans="1:4" ht="13.5" customHeight="1" x14ac:dyDescent="0.45">
      <c r="A187" s="21" t="s">
        <v>25</v>
      </c>
      <c r="B187" s="2" t="s">
        <v>458</v>
      </c>
      <c r="C187" s="2"/>
      <c r="D187" s="2"/>
    </row>
    <row r="188" spans="1:4" ht="24" customHeight="1" x14ac:dyDescent="0.45">
      <c r="A188" s="21" t="s">
        <v>64</v>
      </c>
      <c r="B188" s="2" t="s">
        <v>459</v>
      </c>
      <c r="C188" s="2"/>
      <c r="D188" s="2"/>
    </row>
    <row r="189" spans="1:4" ht="13.5" customHeight="1" x14ac:dyDescent="0.45">
      <c r="A189" s="21" t="s">
        <v>65</v>
      </c>
      <c r="B189" s="2" t="s">
        <v>460</v>
      </c>
      <c r="C189" s="2"/>
      <c r="D189" s="2"/>
    </row>
    <row r="190" spans="1:4" ht="24" customHeight="1" x14ac:dyDescent="0.45">
      <c r="A190" s="21" t="s">
        <v>66</v>
      </c>
      <c r="B190" s="2" t="s">
        <v>461</v>
      </c>
      <c r="C190" s="2"/>
      <c r="D190" s="2"/>
    </row>
    <row r="191" spans="1:4" ht="13.5" customHeight="1" x14ac:dyDescent="0.45">
      <c r="A191" s="21" t="s">
        <v>67</v>
      </c>
      <c r="B191" s="2" t="s">
        <v>902</v>
      </c>
      <c r="C191" s="2"/>
      <c r="D191" s="2"/>
    </row>
    <row r="192" spans="1:4" ht="13.5" customHeight="1" x14ac:dyDescent="0.45">
      <c r="A192" s="21" t="s">
        <v>68</v>
      </c>
      <c r="B192" s="2" t="s">
        <v>462</v>
      </c>
      <c r="C192" s="2"/>
      <c r="D192" s="2"/>
    </row>
    <row r="193" spans="1:4" ht="24" customHeight="1" x14ac:dyDescent="0.45">
      <c r="A193" s="21" t="s">
        <v>69</v>
      </c>
      <c r="B193" s="2" t="s">
        <v>463</v>
      </c>
      <c r="C193" s="2"/>
      <c r="D193" s="2"/>
    </row>
    <row r="194" spans="1:4" ht="13.5" customHeight="1" x14ac:dyDescent="0.45">
      <c r="A194" s="21" t="s">
        <v>70</v>
      </c>
      <c r="B194" s="2" t="s">
        <v>464</v>
      </c>
      <c r="C194" s="2"/>
      <c r="D194" s="2"/>
    </row>
    <row r="195" spans="1:4" ht="13.5" customHeight="1" x14ac:dyDescent="0.45">
      <c r="A195" s="21" t="s">
        <v>543</v>
      </c>
      <c r="B195" s="2" t="s">
        <v>155</v>
      </c>
      <c r="C195" s="2"/>
      <c r="D195" s="2"/>
    </row>
    <row r="196" spans="1:4" ht="13.5" customHeight="1" x14ac:dyDescent="0.45">
      <c r="A196" s="21" t="s">
        <v>73</v>
      </c>
      <c r="B196" s="2" t="s">
        <v>98</v>
      </c>
      <c r="C196" s="2"/>
      <c r="D196" s="2"/>
    </row>
    <row r="197" spans="1:4" ht="13.5" customHeight="1" x14ac:dyDescent="0.45">
      <c r="A197" s="21" t="s">
        <v>544</v>
      </c>
      <c r="B197" s="2" t="s">
        <v>156</v>
      </c>
      <c r="C197" s="2"/>
      <c r="D197" s="2"/>
    </row>
    <row r="199" spans="1:4" ht="15" customHeight="1" x14ac:dyDescent="0.45">
      <c r="A199" s="1" t="s">
        <v>584</v>
      </c>
      <c r="B199" s="1"/>
      <c r="C199" s="1"/>
      <c r="D199" s="1"/>
    </row>
    <row r="200" spans="1:4" ht="13.5" customHeight="1" x14ac:dyDescent="0.45">
      <c r="A200" s="21" t="s">
        <v>62</v>
      </c>
      <c r="B200" s="2" t="s">
        <v>903</v>
      </c>
      <c r="C200" s="2"/>
      <c r="D200" s="2"/>
    </row>
    <row r="201" spans="1:4" ht="13.5" customHeight="1" x14ac:dyDescent="0.45">
      <c r="A201" s="21" t="s">
        <v>63</v>
      </c>
      <c r="B201" s="2" t="s">
        <v>467</v>
      </c>
      <c r="C201" s="2"/>
      <c r="D201" s="2"/>
    </row>
    <row r="202" spans="1:4" ht="13.5" customHeight="1" x14ac:dyDescent="0.45">
      <c r="A202" s="21" t="s">
        <v>25</v>
      </c>
      <c r="B202" s="2" t="s">
        <v>48</v>
      </c>
      <c r="C202" s="2"/>
      <c r="D202" s="2"/>
    </row>
    <row r="203" spans="1:4" ht="13.5" customHeight="1" x14ac:dyDescent="0.45">
      <c r="A203" s="21" t="s">
        <v>64</v>
      </c>
      <c r="B203" s="2" t="s">
        <v>468</v>
      </c>
      <c r="C203" s="2"/>
      <c r="D203" s="2"/>
    </row>
    <row r="204" spans="1:4" ht="24" customHeight="1" x14ac:dyDescent="0.45">
      <c r="A204" s="21" t="s">
        <v>65</v>
      </c>
      <c r="B204" s="2" t="s">
        <v>469</v>
      </c>
      <c r="C204" s="2"/>
      <c r="D204" s="2"/>
    </row>
    <row r="205" spans="1:4" ht="13.5" customHeight="1" x14ac:dyDescent="0.45">
      <c r="A205" s="21" t="s">
        <v>66</v>
      </c>
      <c r="B205" s="2" t="s">
        <v>470</v>
      </c>
      <c r="C205" s="2"/>
      <c r="D205" s="2"/>
    </row>
    <row r="206" spans="1:4" ht="13.5" customHeight="1" x14ac:dyDescent="0.45">
      <c r="A206" s="21" t="s">
        <v>67</v>
      </c>
      <c r="B206" s="2" t="s">
        <v>904</v>
      </c>
      <c r="C206" s="2"/>
      <c r="D206" s="2"/>
    </row>
    <row r="207" spans="1:4" ht="13.5" customHeight="1" x14ac:dyDescent="0.45">
      <c r="A207" s="21" t="s">
        <v>68</v>
      </c>
      <c r="B207" s="2" t="s">
        <v>452</v>
      </c>
      <c r="C207" s="2"/>
      <c r="D207" s="2"/>
    </row>
    <row r="208" spans="1:4" ht="13.5" customHeight="1" x14ac:dyDescent="0.45">
      <c r="A208" s="21" t="s">
        <v>69</v>
      </c>
      <c r="B208" s="2" t="s">
        <v>471</v>
      </c>
      <c r="C208" s="2"/>
      <c r="D208" s="2"/>
    </row>
    <row r="209" spans="1:4" ht="13.5" customHeight="1" x14ac:dyDescent="0.45">
      <c r="A209" s="21" t="s">
        <v>70</v>
      </c>
      <c r="B209" s="2" t="s">
        <v>472</v>
      </c>
      <c r="C209" s="2"/>
      <c r="D209" s="2"/>
    </row>
    <row r="210" spans="1:4" ht="13.5" customHeight="1" x14ac:dyDescent="0.45">
      <c r="A210" s="21" t="s">
        <v>543</v>
      </c>
      <c r="B210" s="2" t="s">
        <v>155</v>
      </c>
      <c r="C210" s="2"/>
      <c r="D210" s="2"/>
    </row>
    <row r="211" spans="1:4" ht="13.5" customHeight="1" x14ac:dyDescent="0.45">
      <c r="A211" s="21" t="s">
        <v>73</v>
      </c>
      <c r="B211" s="2" t="s">
        <v>97</v>
      </c>
      <c r="C211" s="2"/>
      <c r="D211" s="2"/>
    </row>
    <row r="212" spans="1:4" ht="13.5" customHeight="1" x14ac:dyDescent="0.45">
      <c r="A212" s="21" t="s">
        <v>544</v>
      </c>
      <c r="B212" s="2" t="s">
        <v>21</v>
      </c>
      <c r="C212" s="2"/>
      <c r="D212" s="2"/>
    </row>
    <row r="214" spans="1:4" ht="15" customHeight="1" x14ac:dyDescent="0.45">
      <c r="A214" s="1" t="s">
        <v>585</v>
      </c>
      <c r="B214" s="1"/>
      <c r="C214" s="1"/>
      <c r="D214" s="1"/>
    </row>
    <row r="215" spans="1:4" ht="13.5" customHeight="1" x14ac:dyDescent="0.45">
      <c r="A215" s="21" t="s">
        <v>62</v>
      </c>
      <c r="B215" s="2" t="s">
        <v>905</v>
      </c>
      <c r="C215" s="2"/>
      <c r="D215" s="2"/>
    </row>
    <row r="216" spans="1:4" ht="13.5" customHeight="1" x14ac:dyDescent="0.45">
      <c r="A216" s="21" t="s">
        <v>63</v>
      </c>
      <c r="B216" s="2" t="s">
        <v>475</v>
      </c>
      <c r="C216" s="2"/>
      <c r="D216" s="2"/>
    </row>
    <row r="217" spans="1:4" ht="13.5" customHeight="1" x14ac:dyDescent="0.45">
      <c r="A217" s="21" t="s">
        <v>25</v>
      </c>
      <c r="B217" s="2" t="s">
        <v>476</v>
      </c>
      <c r="C217" s="2"/>
      <c r="D217" s="2"/>
    </row>
    <row r="218" spans="1:4" ht="24" customHeight="1" x14ac:dyDescent="0.45">
      <c r="A218" s="21" t="s">
        <v>64</v>
      </c>
      <c r="B218" s="2" t="s">
        <v>477</v>
      </c>
      <c r="C218" s="2"/>
      <c r="D218" s="2"/>
    </row>
    <row r="219" spans="1:4" ht="13.5" customHeight="1" x14ac:dyDescent="0.45">
      <c r="A219" s="21" t="s">
        <v>65</v>
      </c>
      <c r="B219" s="2" t="s">
        <v>478</v>
      </c>
      <c r="C219" s="2"/>
      <c r="D219" s="2"/>
    </row>
    <row r="220" spans="1:4" ht="13.5" customHeight="1" x14ac:dyDescent="0.45">
      <c r="A220" s="21" t="s">
        <v>66</v>
      </c>
      <c r="B220" s="2" t="s">
        <v>479</v>
      </c>
      <c r="C220" s="2"/>
      <c r="D220" s="2"/>
    </row>
    <row r="221" spans="1:4" ht="13.5" customHeight="1" x14ac:dyDescent="0.45">
      <c r="A221" s="21" t="s">
        <v>67</v>
      </c>
      <c r="B221" s="2" t="s">
        <v>906</v>
      </c>
      <c r="C221" s="2"/>
      <c r="D221" s="2"/>
    </row>
    <row r="222" spans="1:4" ht="13.5" customHeight="1" x14ac:dyDescent="0.45">
      <c r="A222" s="21" t="s">
        <v>68</v>
      </c>
      <c r="B222" s="2" t="s">
        <v>390</v>
      </c>
      <c r="C222" s="2"/>
      <c r="D222" s="2"/>
    </row>
    <row r="223" spans="1:4" ht="13.5" customHeight="1" x14ac:dyDescent="0.45">
      <c r="A223" s="21" t="s">
        <v>69</v>
      </c>
      <c r="B223" s="2" t="s">
        <v>480</v>
      </c>
      <c r="C223" s="2"/>
      <c r="D223" s="2"/>
    </row>
    <row r="224" spans="1:4" ht="13.5" customHeight="1" x14ac:dyDescent="0.45">
      <c r="A224" s="21" t="s">
        <v>70</v>
      </c>
      <c r="B224" s="2" t="s">
        <v>481</v>
      </c>
      <c r="C224" s="2"/>
      <c r="D224" s="2"/>
    </row>
    <row r="225" spans="1:4" ht="13.5" customHeight="1" x14ac:dyDescent="0.45">
      <c r="A225" s="21" t="s">
        <v>543</v>
      </c>
      <c r="B225" s="2" t="s">
        <v>177</v>
      </c>
      <c r="C225" s="2"/>
      <c r="D225" s="2"/>
    </row>
    <row r="226" spans="1:4" ht="13.5" customHeight="1" x14ac:dyDescent="0.45">
      <c r="A226" s="21" t="s">
        <v>73</v>
      </c>
      <c r="B226" s="2" t="s">
        <v>98</v>
      </c>
      <c r="C226" s="2"/>
      <c r="D226" s="2"/>
    </row>
    <row r="227" spans="1:4" ht="13.5" customHeight="1" x14ac:dyDescent="0.45">
      <c r="A227" s="21" t="s">
        <v>544</v>
      </c>
      <c r="B227" s="2" t="s">
        <v>156</v>
      </c>
      <c r="C227" s="2"/>
      <c r="D227" s="2"/>
    </row>
    <row r="229" spans="1:4" ht="15" customHeight="1" x14ac:dyDescent="0.45">
      <c r="A229" s="1" t="s">
        <v>586</v>
      </c>
      <c r="B229" s="1"/>
      <c r="C229" s="1"/>
      <c r="D229" s="1"/>
    </row>
    <row r="230" spans="1:4" ht="13.5" customHeight="1" x14ac:dyDescent="0.45">
      <c r="A230" s="21" t="s">
        <v>62</v>
      </c>
      <c r="B230" s="2" t="s">
        <v>907</v>
      </c>
      <c r="C230" s="2"/>
      <c r="D230" s="2"/>
    </row>
    <row r="231" spans="1:4" ht="13.5" customHeight="1" x14ac:dyDescent="0.45">
      <c r="A231" s="21" t="s">
        <v>63</v>
      </c>
      <c r="B231" s="2" t="s">
        <v>484</v>
      </c>
      <c r="C231" s="2"/>
      <c r="D231" s="2"/>
    </row>
    <row r="232" spans="1:4" ht="13.5" customHeight="1" x14ac:dyDescent="0.45">
      <c r="A232" s="21" t="s">
        <v>25</v>
      </c>
      <c r="B232" s="2" t="s">
        <v>485</v>
      </c>
      <c r="C232" s="2"/>
      <c r="D232" s="2"/>
    </row>
    <row r="233" spans="1:4" ht="24" customHeight="1" x14ac:dyDescent="0.45">
      <c r="A233" s="21" t="s">
        <v>64</v>
      </c>
      <c r="B233" s="2" t="s">
        <v>486</v>
      </c>
      <c r="C233" s="2"/>
      <c r="D233" s="2"/>
    </row>
    <row r="234" spans="1:4" ht="24" customHeight="1" x14ac:dyDescent="0.45">
      <c r="A234" s="21" t="s">
        <v>65</v>
      </c>
      <c r="B234" s="2" t="s">
        <v>487</v>
      </c>
      <c r="C234" s="2"/>
      <c r="D234" s="2"/>
    </row>
    <row r="235" spans="1:4" ht="13.5" customHeight="1" x14ac:dyDescent="0.45">
      <c r="A235" s="21" t="s">
        <v>66</v>
      </c>
      <c r="B235" s="2" t="s">
        <v>488</v>
      </c>
      <c r="C235" s="2"/>
      <c r="D235" s="2"/>
    </row>
    <row r="236" spans="1:4" ht="13.5" customHeight="1" x14ac:dyDescent="0.45">
      <c r="A236" s="21" t="s">
        <v>67</v>
      </c>
      <c r="B236" s="2" t="s">
        <v>908</v>
      </c>
      <c r="C236" s="2"/>
      <c r="D236" s="2"/>
    </row>
    <row r="237" spans="1:4" ht="13.5" customHeight="1" x14ac:dyDescent="0.45">
      <c r="A237" s="21" t="s">
        <v>68</v>
      </c>
      <c r="B237" s="2" t="s">
        <v>489</v>
      </c>
      <c r="C237" s="2"/>
      <c r="D237" s="2"/>
    </row>
    <row r="238" spans="1:4" ht="24" customHeight="1" x14ac:dyDescent="0.45">
      <c r="A238" s="21" t="s">
        <v>69</v>
      </c>
      <c r="B238" s="2" t="s">
        <v>490</v>
      </c>
      <c r="C238" s="2"/>
      <c r="D238" s="2"/>
    </row>
    <row r="239" spans="1:4" ht="13.5" customHeight="1" x14ac:dyDescent="0.45">
      <c r="A239" s="21" t="s">
        <v>70</v>
      </c>
      <c r="B239" s="2" t="s">
        <v>491</v>
      </c>
      <c r="C239" s="2"/>
      <c r="D239" s="2"/>
    </row>
    <row r="240" spans="1:4" ht="13.5" customHeight="1" x14ac:dyDescent="0.45">
      <c r="A240" s="21" t="s">
        <v>543</v>
      </c>
      <c r="B240" s="2" t="s">
        <v>86</v>
      </c>
      <c r="C240" s="2"/>
      <c r="D240" s="2"/>
    </row>
    <row r="241" spans="1:4" ht="13.5" customHeight="1" x14ac:dyDescent="0.45">
      <c r="A241" s="21" t="s">
        <v>73</v>
      </c>
      <c r="B241" s="2" t="s">
        <v>86</v>
      </c>
      <c r="C241" s="2"/>
      <c r="D241" s="2"/>
    </row>
    <row r="242" spans="1:4" ht="13.5" customHeight="1" x14ac:dyDescent="0.45">
      <c r="A242" s="21" t="s">
        <v>544</v>
      </c>
      <c r="B242" s="2" t="s">
        <v>22</v>
      </c>
      <c r="C242" s="2"/>
      <c r="D242" s="2"/>
    </row>
    <row r="244" spans="1:4" ht="15" customHeight="1" x14ac:dyDescent="0.45">
      <c r="A244" s="1" t="s">
        <v>587</v>
      </c>
      <c r="B244" s="1"/>
      <c r="C244" s="1"/>
      <c r="D244" s="1"/>
    </row>
    <row r="245" spans="1:4" ht="13.5" customHeight="1" x14ac:dyDescent="0.45">
      <c r="A245" s="21" t="s">
        <v>62</v>
      </c>
      <c r="B245" s="2" t="s">
        <v>909</v>
      </c>
      <c r="C245" s="2"/>
      <c r="D245" s="2"/>
    </row>
    <row r="246" spans="1:4" ht="13.5" customHeight="1" x14ac:dyDescent="0.45">
      <c r="A246" s="21" t="s">
        <v>63</v>
      </c>
      <c r="B246" s="2" t="s">
        <v>494</v>
      </c>
      <c r="C246" s="2"/>
      <c r="D246" s="2"/>
    </row>
    <row r="247" spans="1:4" ht="13.5" customHeight="1" x14ac:dyDescent="0.45">
      <c r="A247" s="21" t="s">
        <v>25</v>
      </c>
      <c r="B247" s="2" t="s">
        <v>495</v>
      </c>
      <c r="C247" s="2"/>
      <c r="D247" s="2"/>
    </row>
    <row r="248" spans="1:4" ht="24" customHeight="1" x14ac:dyDescent="0.45">
      <c r="A248" s="21" t="s">
        <v>64</v>
      </c>
      <c r="B248" s="2" t="s">
        <v>496</v>
      </c>
      <c r="C248" s="2"/>
      <c r="D248" s="2"/>
    </row>
    <row r="249" spans="1:4" ht="24" customHeight="1" x14ac:dyDescent="0.45">
      <c r="A249" s="21" t="s">
        <v>65</v>
      </c>
      <c r="B249" s="2" t="s">
        <v>497</v>
      </c>
      <c r="C249" s="2"/>
      <c r="D249" s="2"/>
    </row>
    <row r="250" spans="1:4" ht="13.5" customHeight="1" x14ac:dyDescent="0.45">
      <c r="A250" s="21" t="s">
        <v>66</v>
      </c>
      <c r="B250" s="2" t="s">
        <v>498</v>
      </c>
      <c r="C250" s="2"/>
      <c r="D250" s="2"/>
    </row>
    <row r="251" spans="1:4" ht="13.5" customHeight="1" x14ac:dyDescent="0.45">
      <c r="A251" s="21" t="s">
        <v>67</v>
      </c>
      <c r="B251" s="2" t="s">
        <v>910</v>
      </c>
      <c r="C251" s="2"/>
      <c r="D251" s="2"/>
    </row>
    <row r="252" spans="1:4" ht="13.5" customHeight="1" x14ac:dyDescent="0.45">
      <c r="A252" s="21" t="s">
        <v>68</v>
      </c>
      <c r="B252" s="2" t="s">
        <v>499</v>
      </c>
      <c r="C252" s="2"/>
      <c r="D252" s="2"/>
    </row>
    <row r="253" spans="1:4" ht="24" customHeight="1" x14ac:dyDescent="0.45">
      <c r="A253" s="21" t="s">
        <v>69</v>
      </c>
      <c r="B253" s="2" t="s">
        <v>500</v>
      </c>
      <c r="C253" s="2"/>
      <c r="D253" s="2"/>
    </row>
    <row r="254" spans="1:4" ht="13.5" customHeight="1" x14ac:dyDescent="0.45">
      <c r="A254" s="21" t="s">
        <v>70</v>
      </c>
      <c r="B254" s="2" t="s">
        <v>501</v>
      </c>
      <c r="C254" s="2"/>
      <c r="D254" s="2"/>
    </row>
    <row r="255" spans="1:4" ht="13.5" customHeight="1" x14ac:dyDescent="0.45">
      <c r="A255" s="21" t="s">
        <v>543</v>
      </c>
      <c r="B255" s="2" t="s">
        <v>86</v>
      </c>
      <c r="C255" s="2"/>
      <c r="D255" s="2"/>
    </row>
    <row r="256" spans="1:4" ht="13.5" customHeight="1" x14ac:dyDescent="0.45">
      <c r="A256" s="21" t="s">
        <v>73</v>
      </c>
      <c r="B256" s="2" t="s">
        <v>502</v>
      </c>
      <c r="C256" s="2"/>
      <c r="D256" s="2"/>
    </row>
    <row r="257" spans="1:4" ht="13.5" customHeight="1" x14ac:dyDescent="0.45">
      <c r="A257" s="21" t="s">
        <v>544</v>
      </c>
      <c r="B257" s="2" t="s">
        <v>22</v>
      </c>
      <c r="C257" s="2"/>
      <c r="D257" s="2"/>
    </row>
    <row r="259" spans="1:4" ht="15" customHeight="1" x14ac:dyDescent="0.45">
      <c r="A259" s="1" t="s">
        <v>588</v>
      </c>
      <c r="B259" s="1"/>
      <c r="C259" s="1"/>
      <c r="D259" s="1"/>
    </row>
    <row r="260" spans="1:4" ht="13.5" customHeight="1" x14ac:dyDescent="0.45">
      <c r="A260" s="21" t="s">
        <v>62</v>
      </c>
      <c r="B260" s="2" t="s">
        <v>911</v>
      </c>
      <c r="C260" s="2"/>
      <c r="D260" s="2"/>
    </row>
    <row r="261" spans="1:4" ht="13.5" customHeight="1" x14ac:dyDescent="0.45">
      <c r="A261" s="21" t="s">
        <v>63</v>
      </c>
      <c r="B261" s="2" t="s">
        <v>505</v>
      </c>
      <c r="C261" s="2"/>
      <c r="D261" s="2"/>
    </row>
    <row r="262" spans="1:4" ht="13.5" customHeight="1" x14ac:dyDescent="0.45">
      <c r="A262" s="21" t="s">
        <v>25</v>
      </c>
      <c r="B262" s="2" t="s">
        <v>406</v>
      </c>
      <c r="C262" s="2"/>
      <c r="D262" s="2"/>
    </row>
    <row r="263" spans="1:4" ht="24" customHeight="1" x14ac:dyDescent="0.45">
      <c r="A263" s="21" t="s">
        <v>64</v>
      </c>
      <c r="B263" s="2" t="s">
        <v>506</v>
      </c>
      <c r="C263" s="2"/>
      <c r="D263" s="2"/>
    </row>
    <row r="264" spans="1:4" ht="24" customHeight="1" x14ac:dyDescent="0.45">
      <c r="A264" s="21" t="s">
        <v>65</v>
      </c>
      <c r="B264" s="2" t="s">
        <v>507</v>
      </c>
      <c r="C264" s="2"/>
      <c r="D264" s="2"/>
    </row>
    <row r="265" spans="1:4" ht="24" customHeight="1" x14ac:dyDescent="0.45">
      <c r="A265" s="21" t="s">
        <v>66</v>
      </c>
      <c r="B265" s="2" t="s">
        <v>508</v>
      </c>
      <c r="C265" s="2"/>
      <c r="D265" s="2"/>
    </row>
    <row r="266" spans="1:4" ht="13.5" customHeight="1" x14ac:dyDescent="0.45">
      <c r="A266" s="21" t="s">
        <v>67</v>
      </c>
      <c r="B266" s="2" t="s">
        <v>912</v>
      </c>
      <c r="C266" s="2"/>
      <c r="D266" s="2"/>
    </row>
    <row r="267" spans="1:4" ht="13.5" customHeight="1" x14ac:dyDescent="0.45">
      <c r="A267" s="21" t="s">
        <v>68</v>
      </c>
      <c r="B267" s="2" t="s">
        <v>452</v>
      </c>
      <c r="C267" s="2"/>
      <c r="D267" s="2"/>
    </row>
    <row r="268" spans="1:4" ht="24" customHeight="1" x14ac:dyDescent="0.45">
      <c r="A268" s="21" t="s">
        <v>69</v>
      </c>
      <c r="B268" s="2" t="s">
        <v>509</v>
      </c>
      <c r="C268" s="2"/>
      <c r="D268" s="2"/>
    </row>
    <row r="269" spans="1:4" ht="13.5" customHeight="1" x14ac:dyDescent="0.45">
      <c r="A269" s="21" t="s">
        <v>70</v>
      </c>
      <c r="B269" s="2" t="s">
        <v>510</v>
      </c>
      <c r="C269" s="2"/>
      <c r="D269" s="2"/>
    </row>
    <row r="270" spans="1:4" ht="13.5" customHeight="1" x14ac:dyDescent="0.45">
      <c r="A270" s="21" t="s">
        <v>543</v>
      </c>
      <c r="B270" s="2" t="s">
        <v>97</v>
      </c>
      <c r="C270" s="2"/>
      <c r="D270" s="2"/>
    </row>
    <row r="271" spans="1:4" ht="13.5" customHeight="1" x14ac:dyDescent="0.45">
      <c r="A271" s="21" t="s">
        <v>73</v>
      </c>
      <c r="B271" s="2" t="s">
        <v>413</v>
      </c>
      <c r="C271" s="2"/>
      <c r="D271" s="2"/>
    </row>
    <row r="272" spans="1:4" ht="13.5" customHeight="1" x14ac:dyDescent="0.45">
      <c r="A272" s="21" t="s">
        <v>544</v>
      </c>
      <c r="B272" s="2" t="s">
        <v>23</v>
      </c>
      <c r="C272" s="2"/>
      <c r="D272" s="2"/>
    </row>
    <row r="274" spans="1:4" ht="15" customHeight="1" x14ac:dyDescent="0.45">
      <c r="A274" s="1" t="s">
        <v>589</v>
      </c>
      <c r="B274" s="1"/>
      <c r="C274" s="1"/>
      <c r="D274" s="1"/>
    </row>
    <row r="275" spans="1:4" ht="13.5" customHeight="1" x14ac:dyDescent="0.45">
      <c r="A275" s="21" t="s">
        <v>62</v>
      </c>
      <c r="B275" s="2" t="s">
        <v>913</v>
      </c>
      <c r="C275" s="2"/>
      <c r="D275" s="2"/>
    </row>
    <row r="276" spans="1:4" ht="13.5" customHeight="1" x14ac:dyDescent="0.45">
      <c r="A276" s="21" t="s">
        <v>63</v>
      </c>
      <c r="B276" s="2" t="s">
        <v>513</v>
      </c>
      <c r="C276" s="2"/>
      <c r="D276" s="2"/>
    </row>
    <row r="277" spans="1:4" ht="13.5" customHeight="1" x14ac:dyDescent="0.45">
      <c r="A277" s="21" t="s">
        <v>25</v>
      </c>
      <c r="B277" s="2" t="s">
        <v>514</v>
      </c>
      <c r="C277" s="2"/>
      <c r="D277" s="2"/>
    </row>
    <row r="278" spans="1:4" ht="24" customHeight="1" x14ac:dyDescent="0.45">
      <c r="A278" s="21" t="s">
        <v>64</v>
      </c>
      <c r="B278" s="2" t="s">
        <v>515</v>
      </c>
      <c r="C278" s="2"/>
      <c r="D278" s="2"/>
    </row>
    <row r="279" spans="1:4" ht="13.5" customHeight="1" x14ac:dyDescent="0.45">
      <c r="A279" s="21" t="s">
        <v>65</v>
      </c>
      <c r="B279" s="2" t="s">
        <v>516</v>
      </c>
      <c r="C279" s="2"/>
      <c r="D279" s="2"/>
    </row>
    <row r="280" spans="1:4" ht="13.5" customHeight="1" x14ac:dyDescent="0.45">
      <c r="A280" s="21" t="s">
        <v>66</v>
      </c>
      <c r="B280" s="2" t="s">
        <v>517</v>
      </c>
      <c r="C280" s="2"/>
      <c r="D280" s="2"/>
    </row>
    <row r="281" spans="1:4" ht="24" customHeight="1" x14ac:dyDescent="0.45">
      <c r="A281" s="21" t="s">
        <v>67</v>
      </c>
      <c r="B281" s="2" t="s">
        <v>914</v>
      </c>
      <c r="C281" s="2"/>
      <c r="D281" s="2"/>
    </row>
    <row r="282" spans="1:4" ht="13.5" customHeight="1" x14ac:dyDescent="0.45">
      <c r="A282" s="21" t="s">
        <v>68</v>
      </c>
      <c r="B282" s="2" t="s">
        <v>518</v>
      </c>
      <c r="C282" s="2"/>
      <c r="D282" s="2"/>
    </row>
    <row r="283" spans="1:4" ht="13.5" customHeight="1" x14ac:dyDescent="0.45">
      <c r="A283" s="21" t="s">
        <v>69</v>
      </c>
      <c r="B283" s="2" t="s">
        <v>519</v>
      </c>
      <c r="C283" s="2"/>
      <c r="D283" s="2"/>
    </row>
    <row r="284" spans="1:4" ht="13.5" customHeight="1" x14ac:dyDescent="0.45">
      <c r="A284" s="21" t="s">
        <v>70</v>
      </c>
      <c r="B284" s="2" t="s">
        <v>520</v>
      </c>
      <c r="C284" s="2"/>
      <c r="D284" s="2"/>
    </row>
    <row r="285" spans="1:4" ht="13.5" customHeight="1" x14ac:dyDescent="0.45">
      <c r="A285" s="21" t="s">
        <v>543</v>
      </c>
      <c r="B285" s="2" t="s">
        <v>86</v>
      </c>
      <c r="C285" s="2"/>
      <c r="D285" s="2"/>
    </row>
    <row r="286" spans="1:4" ht="13.5" customHeight="1" x14ac:dyDescent="0.45">
      <c r="A286" s="21" t="s">
        <v>73</v>
      </c>
      <c r="B286" s="2" t="s">
        <v>86</v>
      </c>
      <c r="C286" s="2"/>
      <c r="D286" s="2"/>
    </row>
    <row r="287" spans="1:4" ht="13.5" customHeight="1" x14ac:dyDescent="0.45">
      <c r="A287" s="21" t="s">
        <v>544</v>
      </c>
      <c r="B287" s="2" t="s">
        <v>22</v>
      </c>
      <c r="C287" s="2"/>
      <c r="D287" s="2"/>
    </row>
    <row r="289" spans="1:4" ht="15" customHeight="1" x14ac:dyDescent="0.45">
      <c r="A289" s="1" t="s">
        <v>590</v>
      </c>
      <c r="B289" s="1"/>
      <c r="C289" s="1"/>
      <c r="D289" s="1"/>
    </row>
    <row r="290" spans="1:4" ht="13.5" customHeight="1" x14ac:dyDescent="0.45">
      <c r="A290" s="21" t="s">
        <v>62</v>
      </c>
      <c r="B290" s="2" t="s">
        <v>915</v>
      </c>
      <c r="C290" s="2"/>
      <c r="D290" s="2"/>
    </row>
    <row r="291" spans="1:4" ht="24" customHeight="1" x14ac:dyDescent="0.45">
      <c r="A291" s="21" t="s">
        <v>63</v>
      </c>
      <c r="B291" s="2" t="s">
        <v>523</v>
      </c>
      <c r="C291" s="2"/>
      <c r="D291" s="2"/>
    </row>
    <row r="292" spans="1:4" ht="13.5" customHeight="1" x14ac:dyDescent="0.45">
      <c r="A292" s="21" t="s">
        <v>25</v>
      </c>
      <c r="B292" s="2" t="s">
        <v>524</v>
      </c>
      <c r="C292" s="2"/>
      <c r="D292" s="2"/>
    </row>
    <row r="293" spans="1:4" ht="13.5" customHeight="1" x14ac:dyDescent="0.45">
      <c r="A293" s="21" t="s">
        <v>64</v>
      </c>
      <c r="B293" s="2" t="s">
        <v>525</v>
      </c>
      <c r="C293" s="2"/>
      <c r="D293" s="2"/>
    </row>
    <row r="294" spans="1:4" ht="13.5" customHeight="1" x14ac:dyDescent="0.45">
      <c r="A294" s="21" t="s">
        <v>65</v>
      </c>
      <c r="B294" s="2" t="s">
        <v>526</v>
      </c>
      <c r="C294" s="2"/>
      <c r="D294" s="2"/>
    </row>
    <row r="295" spans="1:4" ht="13.5" customHeight="1" x14ac:dyDescent="0.45">
      <c r="A295" s="21" t="s">
        <v>66</v>
      </c>
      <c r="B295" s="2" t="s">
        <v>527</v>
      </c>
      <c r="C295" s="2"/>
      <c r="D295" s="2"/>
    </row>
    <row r="296" spans="1:4" ht="13.5" customHeight="1" x14ac:dyDescent="0.45">
      <c r="A296" s="21" t="s">
        <v>67</v>
      </c>
      <c r="B296" s="2" t="s">
        <v>916</v>
      </c>
      <c r="C296" s="2"/>
      <c r="D296" s="2"/>
    </row>
    <row r="297" spans="1:4" ht="13.5" customHeight="1" x14ac:dyDescent="0.45">
      <c r="A297" s="21" t="s">
        <v>68</v>
      </c>
      <c r="B297" s="2" t="s">
        <v>528</v>
      </c>
      <c r="C297" s="2"/>
      <c r="D297" s="2"/>
    </row>
    <row r="298" spans="1:4" ht="13.5" customHeight="1" x14ac:dyDescent="0.45">
      <c r="A298" s="21" t="s">
        <v>69</v>
      </c>
      <c r="B298" s="2" t="s">
        <v>529</v>
      </c>
      <c r="C298" s="2"/>
      <c r="D298" s="2"/>
    </row>
    <row r="299" spans="1:4" ht="13.5" customHeight="1" x14ac:dyDescent="0.45">
      <c r="A299" s="21" t="s">
        <v>70</v>
      </c>
      <c r="B299" s="2" t="s">
        <v>530</v>
      </c>
      <c r="C299" s="2"/>
      <c r="D299" s="2"/>
    </row>
    <row r="300" spans="1:4" ht="13.5" customHeight="1" x14ac:dyDescent="0.45">
      <c r="A300" s="21" t="s">
        <v>543</v>
      </c>
      <c r="B300" s="2" t="s">
        <v>155</v>
      </c>
      <c r="C300" s="2"/>
      <c r="D300" s="2"/>
    </row>
    <row r="301" spans="1:4" ht="13.5" customHeight="1" x14ac:dyDescent="0.45">
      <c r="A301" s="21" t="s">
        <v>73</v>
      </c>
      <c r="B301" s="2" t="s">
        <v>98</v>
      </c>
      <c r="C301" s="2"/>
      <c r="D301" s="2"/>
    </row>
    <row r="302" spans="1:4" ht="13.5" customHeight="1" x14ac:dyDescent="0.45">
      <c r="A302" s="21" t="s">
        <v>544</v>
      </c>
      <c r="B302" s="2" t="s">
        <v>156</v>
      </c>
      <c r="C302" s="2"/>
      <c r="D302" s="2"/>
    </row>
    <row r="304" spans="1:4" ht="15" customHeight="1" x14ac:dyDescent="0.45">
      <c r="A304" s="1" t="s">
        <v>591</v>
      </c>
      <c r="B304" s="1"/>
      <c r="C304" s="1"/>
      <c r="D304" s="1"/>
    </row>
    <row r="305" spans="1:4" ht="13.5" customHeight="1" x14ac:dyDescent="0.45">
      <c r="A305" s="21" t="s">
        <v>62</v>
      </c>
      <c r="B305" s="2" t="s">
        <v>917</v>
      </c>
      <c r="C305" s="2"/>
      <c r="D305" s="2"/>
    </row>
    <row r="306" spans="1:4" ht="13.5" customHeight="1" x14ac:dyDescent="0.45">
      <c r="A306" s="21" t="s">
        <v>63</v>
      </c>
      <c r="B306" s="2" t="s">
        <v>533</v>
      </c>
      <c r="C306" s="2"/>
      <c r="D306" s="2"/>
    </row>
    <row r="307" spans="1:4" ht="13.5" customHeight="1" x14ac:dyDescent="0.45">
      <c r="A307" s="21" t="s">
        <v>25</v>
      </c>
      <c r="B307" s="2" t="s">
        <v>534</v>
      </c>
      <c r="C307" s="2"/>
      <c r="D307" s="2"/>
    </row>
    <row r="308" spans="1:4" ht="24" customHeight="1" x14ac:dyDescent="0.45">
      <c r="A308" s="21" t="s">
        <v>64</v>
      </c>
      <c r="B308" s="2" t="s">
        <v>535</v>
      </c>
      <c r="C308" s="2"/>
      <c r="D308" s="2"/>
    </row>
    <row r="309" spans="1:4" ht="24" customHeight="1" x14ac:dyDescent="0.45">
      <c r="A309" s="21" t="s">
        <v>65</v>
      </c>
      <c r="B309" s="2" t="s">
        <v>536</v>
      </c>
      <c r="C309" s="2"/>
      <c r="D309" s="2"/>
    </row>
    <row r="310" spans="1:4" ht="13.5" customHeight="1" x14ac:dyDescent="0.45">
      <c r="A310" s="21" t="s">
        <v>66</v>
      </c>
      <c r="B310" s="2" t="s">
        <v>537</v>
      </c>
      <c r="C310" s="2"/>
      <c r="D310" s="2"/>
    </row>
    <row r="311" spans="1:4" ht="13.5" customHeight="1" x14ac:dyDescent="0.45">
      <c r="A311" s="21" t="s">
        <v>67</v>
      </c>
      <c r="B311" s="2" t="s">
        <v>918</v>
      </c>
      <c r="C311" s="2"/>
      <c r="D311" s="2"/>
    </row>
    <row r="312" spans="1:4" ht="13.5" customHeight="1" x14ac:dyDescent="0.45">
      <c r="A312" s="21" t="s">
        <v>68</v>
      </c>
      <c r="B312" s="2" t="s">
        <v>538</v>
      </c>
      <c r="C312" s="2"/>
      <c r="D312" s="2"/>
    </row>
    <row r="313" spans="1:4" ht="24" customHeight="1" x14ac:dyDescent="0.45">
      <c r="A313" s="21" t="s">
        <v>69</v>
      </c>
      <c r="B313" s="2" t="s">
        <v>539</v>
      </c>
      <c r="C313" s="2"/>
      <c r="D313" s="2"/>
    </row>
    <row r="314" spans="1:4" ht="13.5" customHeight="1" x14ac:dyDescent="0.45">
      <c r="A314" s="21" t="s">
        <v>70</v>
      </c>
      <c r="B314" s="2" t="s">
        <v>540</v>
      </c>
      <c r="C314" s="2"/>
      <c r="D314" s="2"/>
    </row>
    <row r="315" spans="1:4" ht="13.5" customHeight="1" x14ac:dyDescent="0.45">
      <c r="A315" s="21" t="s">
        <v>543</v>
      </c>
      <c r="B315" s="2" t="s">
        <v>86</v>
      </c>
      <c r="C315" s="2"/>
      <c r="D315" s="2"/>
    </row>
    <row r="316" spans="1:4" ht="13.5" customHeight="1" x14ac:dyDescent="0.45">
      <c r="A316" s="21" t="s">
        <v>73</v>
      </c>
      <c r="B316" s="2" t="s">
        <v>98</v>
      </c>
      <c r="C316" s="2"/>
      <c r="D316" s="2"/>
    </row>
    <row r="317" spans="1:4" ht="13.5" customHeight="1" x14ac:dyDescent="0.45">
      <c r="A317" s="21" t="s">
        <v>544</v>
      </c>
      <c r="B317" s="2" t="s">
        <v>21</v>
      </c>
      <c r="C317" s="2"/>
      <c r="D317" s="2"/>
    </row>
  </sheetData>
  <mergeCells count="296"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00:D300"/>
    <mergeCell ref="B301:D301"/>
    <mergeCell ref="B302:D302"/>
    <mergeCell ref="A304:D304"/>
    <mergeCell ref="B305:D305"/>
    <mergeCell ref="B306:D306"/>
    <mergeCell ref="B307:D307"/>
    <mergeCell ref="B308:D308"/>
    <mergeCell ref="B309:D309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281:D281"/>
    <mergeCell ref="B282:D282"/>
    <mergeCell ref="B283:D283"/>
    <mergeCell ref="B284:D284"/>
    <mergeCell ref="B285:D285"/>
    <mergeCell ref="B286:D286"/>
    <mergeCell ref="B287:D287"/>
    <mergeCell ref="A289:D289"/>
    <mergeCell ref="B290:D290"/>
    <mergeCell ref="B271:D271"/>
    <mergeCell ref="B272:D272"/>
    <mergeCell ref="A274:D274"/>
    <mergeCell ref="B275:D275"/>
    <mergeCell ref="B276:D276"/>
    <mergeCell ref="B277:D277"/>
    <mergeCell ref="B278:D278"/>
    <mergeCell ref="B279:D279"/>
    <mergeCell ref="B280:D280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52:D252"/>
    <mergeCell ref="B253:D253"/>
    <mergeCell ref="B254:D254"/>
    <mergeCell ref="B255:D255"/>
    <mergeCell ref="B256:D256"/>
    <mergeCell ref="B257:D257"/>
    <mergeCell ref="A259:D259"/>
    <mergeCell ref="B260:D260"/>
    <mergeCell ref="B261:D261"/>
    <mergeCell ref="B242:D242"/>
    <mergeCell ref="A244:D244"/>
    <mergeCell ref="B245:D245"/>
    <mergeCell ref="B246:D246"/>
    <mergeCell ref="B247:D247"/>
    <mergeCell ref="B248:D248"/>
    <mergeCell ref="B249:D249"/>
    <mergeCell ref="B250:D250"/>
    <mergeCell ref="B251:D251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23:D223"/>
    <mergeCell ref="B224:D224"/>
    <mergeCell ref="B225:D225"/>
    <mergeCell ref="B226:D226"/>
    <mergeCell ref="B227:D227"/>
    <mergeCell ref="A229:D229"/>
    <mergeCell ref="B230:D230"/>
    <mergeCell ref="B231:D231"/>
    <mergeCell ref="B232:D232"/>
    <mergeCell ref="A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194:D194"/>
    <mergeCell ref="B195:D195"/>
    <mergeCell ref="B196:D196"/>
    <mergeCell ref="B197:D197"/>
    <mergeCell ref="A199:D199"/>
    <mergeCell ref="B200:D200"/>
    <mergeCell ref="B201:D201"/>
    <mergeCell ref="B202:D202"/>
    <mergeCell ref="B203:D203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A184:D184"/>
    <mergeCell ref="B165:D165"/>
    <mergeCell ref="B166:D166"/>
    <mergeCell ref="B167:D167"/>
    <mergeCell ref="A169:D169"/>
    <mergeCell ref="B170:D170"/>
    <mergeCell ref="B171:D171"/>
    <mergeCell ref="B172:D172"/>
    <mergeCell ref="B173:D173"/>
    <mergeCell ref="B174:D174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46:D146"/>
    <mergeCell ref="B147:D147"/>
    <mergeCell ref="B148:D148"/>
    <mergeCell ref="B149:D149"/>
    <mergeCell ref="B150:D150"/>
    <mergeCell ref="B151:D151"/>
    <mergeCell ref="B152:D152"/>
    <mergeCell ref="A154:D154"/>
    <mergeCell ref="B155:D155"/>
    <mergeCell ref="B136:D136"/>
    <mergeCell ref="B137:D137"/>
    <mergeCell ref="A139:D139"/>
    <mergeCell ref="B140:D140"/>
    <mergeCell ref="B141:D141"/>
    <mergeCell ref="B142:D142"/>
    <mergeCell ref="B143:D143"/>
    <mergeCell ref="B144:D144"/>
    <mergeCell ref="B145:D145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17:D117"/>
    <mergeCell ref="B118:D118"/>
    <mergeCell ref="B119:D119"/>
    <mergeCell ref="B120:D120"/>
    <mergeCell ref="B121:D121"/>
    <mergeCell ref="B122:D122"/>
    <mergeCell ref="A124:D124"/>
    <mergeCell ref="B125:D125"/>
    <mergeCell ref="B126:D126"/>
    <mergeCell ref="B107:D107"/>
    <mergeCell ref="A109:D109"/>
    <mergeCell ref="B110:D110"/>
    <mergeCell ref="B111:D111"/>
    <mergeCell ref="B112:D112"/>
    <mergeCell ref="B113:D113"/>
    <mergeCell ref="B114:D114"/>
    <mergeCell ref="B115:D115"/>
    <mergeCell ref="B116:D116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88:D88"/>
    <mergeCell ref="B89:D89"/>
    <mergeCell ref="B90:D90"/>
    <mergeCell ref="B91:D91"/>
    <mergeCell ref="B92:D92"/>
    <mergeCell ref="A94:D94"/>
    <mergeCell ref="B95:D95"/>
    <mergeCell ref="B96:D96"/>
    <mergeCell ref="B97:D97"/>
    <mergeCell ref="A79:D79"/>
    <mergeCell ref="B80:D80"/>
    <mergeCell ref="B81:D81"/>
    <mergeCell ref="B82:D82"/>
    <mergeCell ref="B83:D83"/>
    <mergeCell ref="B84:D84"/>
    <mergeCell ref="B85:D85"/>
    <mergeCell ref="B86:D86"/>
    <mergeCell ref="B87:D87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59:D59"/>
    <mergeCell ref="B60:D60"/>
    <mergeCell ref="B61:D61"/>
    <mergeCell ref="B62:D62"/>
    <mergeCell ref="A64:D64"/>
    <mergeCell ref="B65:D65"/>
    <mergeCell ref="B66:D66"/>
    <mergeCell ref="B67:D67"/>
    <mergeCell ref="B68:D68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40:D40"/>
    <mergeCell ref="B41:D41"/>
    <mergeCell ref="B42:D42"/>
    <mergeCell ref="B43:D43"/>
    <mergeCell ref="B44:D44"/>
    <mergeCell ref="B45:D45"/>
    <mergeCell ref="B46:D46"/>
    <mergeCell ref="B47:D47"/>
    <mergeCell ref="A49:D49"/>
    <mergeCell ref="B30:D30"/>
    <mergeCell ref="B31:D31"/>
    <mergeCell ref="B32:D32"/>
    <mergeCell ref="A34:D34"/>
    <mergeCell ref="B35:D35"/>
    <mergeCell ref="B36:D36"/>
    <mergeCell ref="B37:D37"/>
    <mergeCell ref="B38:D38"/>
    <mergeCell ref="B39:D3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11:D11"/>
    <mergeCell ref="B12:D12"/>
    <mergeCell ref="B13:D13"/>
    <mergeCell ref="B14:D14"/>
    <mergeCell ref="B15:D15"/>
    <mergeCell ref="B16:D16"/>
    <mergeCell ref="B17:D17"/>
    <mergeCell ref="A19:D19"/>
    <mergeCell ref="B20:D20"/>
    <mergeCell ref="A1:D1"/>
    <mergeCell ref="A2:D2"/>
    <mergeCell ref="A4:D4"/>
    <mergeCell ref="B5:D5"/>
    <mergeCell ref="B6:D6"/>
    <mergeCell ref="B7:D7"/>
    <mergeCell ref="B8:D8"/>
    <mergeCell ref="B9:D9"/>
    <mergeCell ref="B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6640625" defaultRowHeight="14.25" x14ac:dyDescent="0.45"/>
  <cols>
    <col min="1" max="1" width="6" customWidth="1"/>
    <col min="2" max="2" width="26" customWidth="1"/>
    <col min="3" max="3" width="30" customWidth="1"/>
    <col min="4" max="4" width="28" customWidth="1"/>
    <col min="5" max="5" width="22" customWidth="1"/>
    <col min="6" max="6" width="26" customWidth="1"/>
    <col min="7" max="7" width="24" customWidth="1"/>
    <col min="8" max="8" width="26" customWidth="1"/>
  </cols>
  <sheetData>
    <row r="1" spans="1:8" ht="20.65" x14ac:dyDescent="0.6">
      <c r="A1" s="7" t="s">
        <v>592</v>
      </c>
      <c r="B1" s="7"/>
      <c r="C1" s="7"/>
      <c r="D1" s="7"/>
      <c r="E1" s="7"/>
      <c r="F1" s="7"/>
      <c r="G1" s="7"/>
      <c r="H1" s="7"/>
    </row>
    <row r="2" spans="1:8" x14ac:dyDescent="0.45">
      <c r="A2" s="6"/>
      <c r="B2" s="6"/>
      <c r="C2" s="6"/>
      <c r="D2" s="6"/>
      <c r="E2" s="6"/>
      <c r="F2" s="6"/>
      <c r="G2" s="6"/>
      <c r="H2" s="6"/>
    </row>
    <row r="4" spans="1:8" x14ac:dyDescent="0.45">
      <c r="A4" s="15" t="s">
        <v>59</v>
      </c>
      <c r="B4" s="15" t="s">
        <v>593</v>
      </c>
      <c r="C4" s="15" t="s">
        <v>594</v>
      </c>
      <c r="D4" s="15" t="s">
        <v>66</v>
      </c>
      <c r="E4" s="15" t="s">
        <v>595</v>
      </c>
      <c r="F4" s="15" t="s">
        <v>596</v>
      </c>
      <c r="G4" s="15" t="s">
        <v>597</v>
      </c>
      <c r="H4" s="15" t="s">
        <v>598</v>
      </c>
    </row>
    <row r="5" spans="1:8" ht="58.15" x14ac:dyDescent="0.45">
      <c r="A5" s="16" t="s">
        <v>76</v>
      </c>
      <c r="B5" s="18" t="s">
        <v>77</v>
      </c>
      <c r="C5" s="18" t="s">
        <v>599</v>
      </c>
      <c r="D5" s="18" t="s">
        <v>82</v>
      </c>
      <c r="E5" s="18" t="s">
        <v>600</v>
      </c>
      <c r="F5" s="18" t="s">
        <v>601</v>
      </c>
      <c r="G5" s="18" t="s">
        <v>602</v>
      </c>
      <c r="H5" s="18" t="s">
        <v>603</v>
      </c>
    </row>
    <row r="6" spans="1:8" ht="34.9" x14ac:dyDescent="0.45">
      <c r="A6" s="16" t="s">
        <v>88</v>
      </c>
      <c r="B6" s="18" t="s">
        <v>89</v>
      </c>
      <c r="C6" s="18" t="s">
        <v>604</v>
      </c>
      <c r="D6" s="18" t="s">
        <v>93</v>
      </c>
      <c r="E6" s="18" t="s">
        <v>605</v>
      </c>
      <c r="F6" s="18" t="s">
        <v>601</v>
      </c>
      <c r="G6" s="18" t="s">
        <v>602</v>
      </c>
      <c r="H6" s="18" t="s">
        <v>606</v>
      </c>
    </row>
    <row r="7" spans="1:8" ht="46.5" x14ac:dyDescent="0.45">
      <c r="A7" s="16" t="s">
        <v>99</v>
      </c>
      <c r="B7" s="18" t="s">
        <v>100</v>
      </c>
      <c r="C7" s="18" t="s">
        <v>607</v>
      </c>
      <c r="D7" s="18" t="s">
        <v>105</v>
      </c>
      <c r="E7" s="18" t="s">
        <v>608</v>
      </c>
      <c r="F7" s="18" t="s">
        <v>601</v>
      </c>
      <c r="G7" s="18" t="s">
        <v>602</v>
      </c>
      <c r="H7" s="18" t="s">
        <v>602</v>
      </c>
    </row>
    <row r="8" spans="1:8" ht="34.9" x14ac:dyDescent="0.45">
      <c r="A8" s="16" t="s">
        <v>109</v>
      </c>
      <c r="B8" s="18" t="s">
        <v>110</v>
      </c>
      <c r="C8" s="18" t="s">
        <v>609</v>
      </c>
      <c r="D8" s="18" t="s">
        <v>114</v>
      </c>
      <c r="E8" s="18" t="s">
        <v>610</v>
      </c>
      <c r="F8" s="18" t="s">
        <v>601</v>
      </c>
      <c r="G8" s="18" t="s">
        <v>602</v>
      </c>
      <c r="H8" s="18" t="s">
        <v>602</v>
      </c>
    </row>
    <row r="9" spans="1:8" ht="23.25" x14ac:dyDescent="0.45">
      <c r="A9" s="16" t="s">
        <v>118</v>
      </c>
      <c r="B9" s="18" t="s">
        <v>119</v>
      </c>
      <c r="C9" s="18" t="s">
        <v>604</v>
      </c>
      <c r="D9" s="18" t="s">
        <v>123</v>
      </c>
      <c r="E9" s="18" t="s">
        <v>605</v>
      </c>
      <c r="F9" s="18" t="s">
        <v>601</v>
      </c>
      <c r="G9" s="18" t="s">
        <v>602</v>
      </c>
      <c r="H9" s="18" t="s">
        <v>611</v>
      </c>
    </row>
    <row r="10" spans="1:8" ht="23.25" x14ac:dyDescent="0.45">
      <c r="A10" s="16" t="s">
        <v>127</v>
      </c>
      <c r="B10" s="18" t="s">
        <v>128</v>
      </c>
      <c r="C10" s="18" t="s">
        <v>612</v>
      </c>
      <c r="D10" s="18" t="s">
        <v>132</v>
      </c>
      <c r="E10" s="18" t="s">
        <v>610</v>
      </c>
      <c r="F10" s="18" t="s">
        <v>613</v>
      </c>
      <c r="G10" s="18" t="s">
        <v>602</v>
      </c>
      <c r="H10" s="18" t="s">
        <v>614</v>
      </c>
    </row>
    <row r="11" spans="1:8" ht="34.9" x14ac:dyDescent="0.45">
      <c r="A11" s="16" t="s">
        <v>137</v>
      </c>
      <c r="B11" s="18" t="s">
        <v>138</v>
      </c>
      <c r="C11" s="18" t="s">
        <v>615</v>
      </c>
      <c r="D11" s="18" t="s">
        <v>141</v>
      </c>
      <c r="E11" s="18" t="s">
        <v>605</v>
      </c>
      <c r="F11" s="18" t="s">
        <v>601</v>
      </c>
      <c r="G11" s="18" t="s">
        <v>602</v>
      </c>
      <c r="H11" s="18" t="s">
        <v>602</v>
      </c>
    </row>
    <row r="12" spans="1:8" ht="46.5" x14ac:dyDescent="0.45">
      <c r="A12" s="16" t="s">
        <v>145</v>
      </c>
      <c r="B12" s="18" t="s">
        <v>146</v>
      </c>
      <c r="C12" s="18" t="s">
        <v>607</v>
      </c>
      <c r="D12" s="18" t="s">
        <v>151</v>
      </c>
      <c r="E12" s="18" t="s">
        <v>608</v>
      </c>
      <c r="F12" s="18" t="s">
        <v>601</v>
      </c>
      <c r="G12" s="18" t="s">
        <v>602</v>
      </c>
      <c r="H12" s="18" t="s">
        <v>602</v>
      </c>
    </row>
    <row r="13" spans="1:8" ht="34.9" x14ac:dyDescent="0.45">
      <c r="A13" s="16" t="s">
        <v>157</v>
      </c>
      <c r="B13" s="18" t="s">
        <v>158</v>
      </c>
      <c r="C13" s="18" t="s">
        <v>616</v>
      </c>
      <c r="D13" s="18" t="s">
        <v>163</v>
      </c>
      <c r="E13" s="18" t="s">
        <v>608</v>
      </c>
      <c r="F13" s="18" t="s">
        <v>613</v>
      </c>
      <c r="G13" s="18" t="s">
        <v>602</v>
      </c>
      <c r="H13" s="18" t="s">
        <v>617</v>
      </c>
    </row>
    <row r="14" spans="1:8" ht="34.9" x14ac:dyDescent="0.45">
      <c r="A14" s="16" t="s">
        <v>167</v>
      </c>
      <c r="B14" s="18" t="s">
        <v>168</v>
      </c>
      <c r="C14" s="18" t="s">
        <v>618</v>
      </c>
      <c r="D14" s="18" t="s">
        <v>173</v>
      </c>
      <c r="E14" s="18" t="s">
        <v>608</v>
      </c>
      <c r="F14" s="18" t="s">
        <v>613</v>
      </c>
      <c r="G14" s="18" t="s">
        <v>619</v>
      </c>
      <c r="H14" s="18" t="s">
        <v>611</v>
      </c>
    </row>
    <row r="15" spans="1:8" ht="46.5" x14ac:dyDescent="0.45">
      <c r="A15" s="16" t="s">
        <v>178</v>
      </c>
      <c r="B15" s="18" t="s">
        <v>179</v>
      </c>
      <c r="C15" s="18" t="s">
        <v>620</v>
      </c>
      <c r="D15" s="18" t="s">
        <v>184</v>
      </c>
      <c r="E15" s="18" t="s">
        <v>621</v>
      </c>
      <c r="F15" s="18" t="s">
        <v>601</v>
      </c>
      <c r="G15" s="18" t="s">
        <v>602</v>
      </c>
      <c r="H15" s="18" t="s">
        <v>602</v>
      </c>
    </row>
    <row r="16" spans="1:8" ht="23.25" x14ac:dyDescent="0.45">
      <c r="A16" s="16" t="s">
        <v>188</v>
      </c>
      <c r="B16" s="18" t="s">
        <v>189</v>
      </c>
      <c r="C16" s="18" t="s">
        <v>622</v>
      </c>
      <c r="D16" s="18" t="s">
        <v>194</v>
      </c>
      <c r="E16" s="18" t="s">
        <v>623</v>
      </c>
      <c r="F16" s="18" t="s">
        <v>613</v>
      </c>
      <c r="G16" s="18" t="s">
        <v>602</v>
      </c>
      <c r="H16" s="18" t="s">
        <v>611</v>
      </c>
    </row>
    <row r="17" spans="1:8" ht="58.15" x14ac:dyDescent="0.45">
      <c r="A17" s="16" t="s">
        <v>198</v>
      </c>
      <c r="B17" s="18" t="s">
        <v>199</v>
      </c>
      <c r="C17" s="18" t="s">
        <v>624</v>
      </c>
      <c r="D17" s="18" t="s">
        <v>204</v>
      </c>
      <c r="E17" s="18" t="s">
        <v>625</v>
      </c>
      <c r="F17" s="18" t="s">
        <v>626</v>
      </c>
      <c r="G17" s="18" t="s">
        <v>602</v>
      </c>
      <c r="H17" s="18" t="s">
        <v>602</v>
      </c>
    </row>
    <row r="18" spans="1:8" ht="34.9" x14ac:dyDescent="0.45">
      <c r="A18" s="16" t="s">
        <v>208</v>
      </c>
      <c r="B18" s="18" t="s">
        <v>209</v>
      </c>
      <c r="C18" s="18" t="s">
        <v>627</v>
      </c>
      <c r="D18" s="18" t="s">
        <v>215</v>
      </c>
      <c r="E18" s="18" t="s">
        <v>623</v>
      </c>
      <c r="F18" s="18" t="s">
        <v>613</v>
      </c>
      <c r="G18" s="18" t="s">
        <v>602</v>
      </c>
      <c r="H18" s="18" t="s">
        <v>602</v>
      </c>
    </row>
    <row r="19" spans="1:8" ht="46.5" x14ac:dyDescent="0.45">
      <c r="A19" s="16" t="s">
        <v>220</v>
      </c>
      <c r="B19" s="18" t="s">
        <v>221</v>
      </c>
      <c r="C19" s="18" t="s">
        <v>628</v>
      </c>
      <c r="D19" s="18" t="s">
        <v>227</v>
      </c>
      <c r="E19" s="18" t="s">
        <v>629</v>
      </c>
      <c r="F19" s="18" t="s">
        <v>601</v>
      </c>
      <c r="G19" s="18" t="s">
        <v>602</v>
      </c>
      <c r="H19" s="18" t="s">
        <v>611</v>
      </c>
    </row>
    <row r="20" spans="1:8" ht="34.9" x14ac:dyDescent="0.45">
      <c r="A20" s="16" t="s">
        <v>232</v>
      </c>
      <c r="B20" s="18" t="s">
        <v>233</v>
      </c>
      <c r="C20" s="18" t="s">
        <v>630</v>
      </c>
      <c r="D20" s="18" t="s">
        <v>238</v>
      </c>
      <c r="E20" s="18" t="s">
        <v>623</v>
      </c>
      <c r="F20" s="18" t="s">
        <v>601</v>
      </c>
      <c r="G20" s="18" t="s">
        <v>602</v>
      </c>
      <c r="H20" s="18" t="s">
        <v>602</v>
      </c>
    </row>
    <row r="21" spans="1:8" ht="58.15" x14ac:dyDescent="0.45">
      <c r="A21" s="16" t="s">
        <v>242</v>
      </c>
      <c r="B21" s="18" t="s">
        <v>243</v>
      </c>
      <c r="C21" s="18" t="s">
        <v>631</v>
      </c>
      <c r="D21" s="18" t="s">
        <v>247</v>
      </c>
      <c r="E21" s="18" t="s">
        <v>632</v>
      </c>
      <c r="F21" s="18" t="s">
        <v>633</v>
      </c>
      <c r="G21" s="18" t="s">
        <v>602</v>
      </c>
      <c r="H21" s="18" t="s">
        <v>602</v>
      </c>
    </row>
    <row r="22" spans="1:8" ht="23.25" x14ac:dyDescent="0.45">
      <c r="A22" s="16" t="s">
        <v>251</v>
      </c>
      <c r="B22" s="18" t="s">
        <v>252</v>
      </c>
      <c r="C22" s="18"/>
      <c r="D22" s="18" t="s">
        <v>258</v>
      </c>
      <c r="E22" s="18" t="s">
        <v>623</v>
      </c>
      <c r="F22" s="18" t="s">
        <v>613</v>
      </c>
      <c r="G22" s="18" t="s">
        <v>602</v>
      </c>
      <c r="H22" s="18" t="s">
        <v>602</v>
      </c>
    </row>
    <row r="23" spans="1:8" ht="46.5" x14ac:dyDescent="0.45">
      <c r="A23" s="16" t="s">
        <v>264</v>
      </c>
      <c r="B23" s="18" t="s">
        <v>265</v>
      </c>
      <c r="C23" s="18" t="s">
        <v>634</v>
      </c>
      <c r="D23" s="18" t="s">
        <v>270</v>
      </c>
      <c r="E23" s="18" t="s">
        <v>608</v>
      </c>
      <c r="F23" s="18" t="s">
        <v>635</v>
      </c>
      <c r="G23" s="18" t="s">
        <v>602</v>
      </c>
      <c r="H23" s="18" t="s">
        <v>602</v>
      </c>
    </row>
    <row r="24" spans="1:8" ht="23.25" x14ac:dyDescent="0.45">
      <c r="A24" s="16" t="s">
        <v>274</v>
      </c>
      <c r="B24" s="18" t="s">
        <v>275</v>
      </c>
      <c r="C24" s="18" t="s">
        <v>636</v>
      </c>
      <c r="D24" s="18" t="s">
        <v>280</v>
      </c>
      <c r="E24" s="18" t="s">
        <v>610</v>
      </c>
      <c r="F24" s="18" t="s">
        <v>601</v>
      </c>
      <c r="G24" s="18" t="s">
        <v>602</v>
      </c>
      <c r="H24" s="18" t="s">
        <v>602</v>
      </c>
    </row>
    <row r="25" spans="1:8" ht="23.25" x14ac:dyDescent="0.45">
      <c r="A25" s="16" t="s">
        <v>284</v>
      </c>
      <c r="B25" s="18" t="s">
        <v>285</v>
      </c>
      <c r="C25" s="18" t="s">
        <v>637</v>
      </c>
      <c r="D25" s="18" t="s">
        <v>290</v>
      </c>
      <c r="E25" s="18" t="s">
        <v>610</v>
      </c>
      <c r="F25" s="18" t="s">
        <v>638</v>
      </c>
      <c r="G25" s="18" t="s">
        <v>602</v>
      </c>
      <c r="H25" s="18" t="s">
        <v>602</v>
      </c>
    </row>
    <row r="26" spans="1:8" ht="34.9" x14ac:dyDescent="0.45">
      <c r="A26" s="16" t="s">
        <v>294</v>
      </c>
      <c r="B26" s="18" t="s">
        <v>295</v>
      </c>
      <c r="C26" s="18" t="s">
        <v>627</v>
      </c>
      <c r="D26" s="18" t="s">
        <v>300</v>
      </c>
      <c r="E26" s="18" t="s">
        <v>610</v>
      </c>
      <c r="F26" s="18" t="s">
        <v>613</v>
      </c>
      <c r="G26" s="18" t="s">
        <v>602</v>
      </c>
      <c r="H26" s="18" t="s">
        <v>614</v>
      </c>
    </row>
    <row r="27" spans="1:8" ht="46.5" x14ac:dyDescent="0.45">
      <c r="A27" s="16" t="s">
        <v>304</v>
      </c>
      <c r="B27" s="18" t="s">
        <v>305</v>
      </c>
      <c r="C27" s="18" t="s">
        <v>639</v>
      </c>
      <c r="D27" s="18" t="s">
        <v>310</v>
      </c>
      <c r="E27" s="18" t="s">
        <v>608</v>
      </c>
      <c r="F27" s="18" t="s">
        <v>640</v>
      </c>
      <c r="G27" s="18" t="s">
        <v>602</v>
      </c>
      <c r="H27" s="18" t="s">
        <v>602</v>
      </c>
    </row>
    <row r="28" spans="1:8" ht="46.5" x14ac:dyDescent="0.45">
      <c r="A28" s="16" t="s">
        <v>315</v>
      </c>
      <c r="B28" s="18" t="s">
        <v>316</v>
      </c>
      <c r="C28" s="18" t="s">
        <v>641</v>
      </c>
      <c r="D28" s="18" t="s">
        <v>321</v>
      </c>
      <c r="E28" s="18" t="s">
        <v>605</v>
      </c>
      <c r="F28" s="18" t="s">
        <v>601</v>
      </c>
      <c r="G28" s="18" t="s">
        <v>602</v>
      </c>
      <c r="H28" s="18" t="s">
        <v>642</v>
      </c>
    </row>
    <row r="29" spans="1:8" ht="34.9" x14ac:dyDescent="0.45">
      <c r="A29" s="16" t="s">
        <v>325</v>
      </c>
      <c r="B29" s="18" t="s">
        <v>326</v>
      </c>
      <c r="C29" s="18" t="s">
        <v>643</v>
      </c>
      <c r="D29" s="18" t="s">
        <v>331</v>
      </c>
      <c r="E29" s="18" t="s">
        <v>610</v>
      </c>
      <c r="F29" s="18" t="s">
        <v>601</v>
      </c>
      <c r="G29" s="18" t="s">
        <v>602</v>
      </c>
      <c r="H29" s="18" t="s">
        <v>644</v>
      </c>
    </row>
    <row r="30" spans="1:8" ht="23.25" x14ac:dyDescent="0.45">
      <c r="A30" s="16" t="s">
        <v>335</v>
      </c>
      <c r="B30" s="18" t="s">
        <v>336</v>
      </c>
      <c r="C30" s="18" t="s">
        <v>645</v>
      </c>
      <c r="D30" s="18" t="s">
        <v>340</v>
      </c>
      <c r="E30" s="18" t="s">
        <v>610</v>
      </c>
      <c r="F30" s="18" t="s">
        <v>646</v>
      </c>
      <c r="G30" s="18" t="s">
        <v>602</v>
      </c>
      <c r="H30" s="18" t="s">
        <v>602</v>
      </c>
    </row>
    <row r="31" spans="1:8" ht="34.9" x14ac:dyDescent="0.45">
      <c r="A31" s="16" t="s">
        <v>344</v>
      </c>
      <c r="B31" s="18" t="s">
        <v>345</v>
      </c>
      <c r="C31" s="18" t="s">
        <v>647</v>
      </c>
      <c r="D31" s="18" t="s">
        <v>350</v>
      </c>
      <c r="E31" s="18" t="s">
        <v>608</v>
      </c>
      <c r="F31" s="18" t="s">
        <v>648</v>
      </c>
      <c r="G31" s="18" t="s">
        <v>602</v>
      </c>
      <c r="H31" s="18" t="s">
        <v>602</v>
      </c>
    </row>
    <row r="32" spans="1:8" ht="34.9" x14ac:dyDescent="0.45">
      <c r="A32" s="16" t="s">
        <v>354</v>
      </c>
      <c r="B32" s="18" t="s">
        <v>355</v>
      </c>
      <c r="C32" s="18" t="s">
        <v>649</v>
      </c>
      <c r="D32" s="18" t="s">
        <v>360</v>
      </c>
      <c r="E32" s="18" t="s">
        <v>608</v>
      </c>
      <c r="F32" s="18" t="s">
        <v>635</v>
      </c>
      <c r="G32" s="18" t="s">
        <v>602</v>
      </c>
      <c r="H32" s="18" t="s">
        <v>602</v>
      </c>
    </row>
    <row r="33" spans="1:8" ht="23.25" x14ac:dyDescent="0.45">
      <c r="A33" s="16" t="s">
        <v>364</v>
      </c>
      <c r="B33" s="18" t="s">
        <v>365</v>
      </c>
      <c r="C33" s="18" t="s">
        <v>650</v>
      </c>
      <c r="D33" s="18" t="s">
        <v>370</v>
      </c>
      <c r="E33" s="18" t="s">
        <v>651</v>
      </c>
      <c r="F33" s="18" t="s">
        <v>652</v>
      </c>
      <c r="G33" s="18" t="s">
        <v>602</v>
      </c>
      <c r="H33" s="18" t="s">
        <v>602</v>
      </c>
    </row>
    <row r="34" spans="1:8" ht="23.25" x14ac:dyDescent="0.45">
      <c r="A34" s="16" t="s">
        <v>374</v>
      </c>
      <c r="B34" s="18" t="s">
        <v>375</v>
      </c>
      <c r="C34" s="18" t="s">
        <v>653</v>
      </c>
      <c r="D34" s="18" t="s">
        <v>380</v>
      </c>
      <c r="E34" s="18" t="s">
        <v>623</v>
      </c>
      <c r="F34" s="18" t="s">
        <v>613</v>
      </c>
      <c r="G34" s="18" t="s">
        <v>602</v>
      </c>
      <c r="H34" s="18" t="s">
        <v>654</v>
      </c>
    </row>
    <row r="35" spans="1:8" ht="23.25" x14ac:dyDescent="0.45">
      <c r="A35" s="16" t="s">
        <v>384</v>
      </c>
      <c r="B35" s="18" t="s">
        <v>385</v>
      </c>
      <c r="C35" s="18" t="s">
        <v>655</v>
      </c>
      <c r="D35" s="18" t="s">
        <v>389</v>
      </c>
      <c r="E35" s="18" t="s">
        <v>610</v>
      </c>
      <c r="F35" s="18" t="s">
        <v>613</v>
      </c>
      <c r="G35" s="18" t="s">
        <v>602</v>
      </c>
      <c r="H35" s="18" t="s">
        <v>602</v>
      </c>
    </row>
    <row r="36" spans="1:8" ht="58.15" x14ac:dyDescent="0.45">
      <c r="A36" s="16" t="s">
        <v>393</v>
      </c>
      <c r="B36" s="18" t="s">
        <v>394</v>
      </c>
      <c r="C36" s="18" t="s">
        <v>656</v>
      </c>
      <c r="D36" s="18" t="s">
        <v>399</v>
      </c>
      <c r="E36" s="18" t="s">
        <v>608</v>
      </c>
      <c r="F36" s="18" t="s">
        <v>657</v>
      </c>
      <c r="G36" s="18" t="s">
        <v>602</v>
      </c>
      <c r="H36" s="18" t="s">
        <v>602</v>
      </c>
    </row>
    <row r="37" spans="1:8" ht="34.9" x14ac:dyDescent="0.45">
      <c r="A37" s="16" t="s">
        <v>403</v>
      </c>
      <c r="B37" s="18" t="s">
        <v>404</v>
      </c>
      <c r="C37" s="18" t="s">
        <v>658</v>
      </c>
      <c r="D37" s="18" t="s">
        <v>409</v>
      </c>
      <c r="E37" s="18" t="s">
        <v>610</v>
      </c>
      <c r="F37" s="18" t="s">
        <v>635</v>
      </c>
      <c r="G37" s="18" t="s">
        <v>602</v>
      </c>
      <c r="H37" s="18" t="s">
        <v>602</v>
      </c>
    </row>
    <row r="38" spans="1:8" ht="46.5" x14ac:dyDescent="0.45">
      <c r="A38" s="16" t="s">
        <v>414</v>
      </c>
      <c r="B38" s="18" t="s">
        <v>415</v>
      </c>
      <c r="C38" s="18" t="s">
        <v>639</v>
      </c>
      <c r="D38" s="18" t="s">
        <v>421</v>
      </c>
      <c r="E38" s="18" t="s">
        <v>608</v>
      </c>
      <c r="F38" s="18" t="s">
        <v>640</v>
      </c>
      <c r="G38" s="18" t="s">
        <v>602</v>
      </c>
      <c r="H38" s="18" t="s">
        <v>602</v>
      </c>
    </row>
    <row r="39" spans="1:8" ht="34.9" x14ac:dyDescent="0.45">
      <c r="A39" s="16" t="s">
        <v>426</v>
      </c>
      <c r="B39" s="18" t="s">
        <v>427</v>
      </c>
      <c r="C39" s="18" t="s">
        <v>649</v>
      </c>
      <c r="D39" s="18" t="s">
        <v>432</v>
      </c>
      <c r="E39" s="18" t="s">
        <v>608</v>
      </c>
      <c r="F39" s="18" t="s">
        <v>635</v>
      </c>
      <c r="G39" s="18" t="s">
        <v>602</v>
      </c>
      <c r="H39" s="18" t="s">
        <v>602</v>
      </c>
    </row>
    <row r="40" spans="1:8" ht="34.9" x14ac:dyDescent="0.45">
      <c r="A40" s="16" t="s">
        <v>436</v>
      </c>
      <c r="B40" s="18" t="s">
        <v>437</v>
      </c>
      <c r="C40" s="18" t="s">
        <v>659</v>
      </c>
      <c r="D40" s="18" t="s">
        <v>442</v>
      </c>
      <c r="E40" s="18" t="s">
        <v>651</v>
      </c>
      <c r="F40" s="18" t="s">
        <v>652</v>
      </c>
      <c r="G40" s="18" t="s">
        <v>602</v>
      </c>
      <c r="H40" s="18" t="s">
        <v>602</v>
      </c>
    </row>
    <row r="41" spans="1:8" ht="23.25" x14ac:dyDescent="0.45">
      <c r="A41" s="16" t="s">
        <v>445</v>
      </c>
      <c r="B41" s="18" t="s">
        <v>446</v>
      </c>
      <c r="C41" s="18" t="s">
        <v>660</v>
      </c>
      <c r="D41" s="18" t="s">
        <v>451</v>
      </c>
      <c r="E41" s="18" t="s">
        <v>632</v>
      </c>
      <c r="F41" s="18" t="s">
        <v>613</v>
      </c>
      <c r="G41" s="18" t="s">
        <v>602</v>
      </c>
      <c r="H41" s="18" t="s">
        <v>602</v>
      </c>
    </row>
    <row r="42" spans="1:8" ht="23.25" x14ac:dyDescent="0.45">
      <c r="A42" s="16" t="s">
        <v>455</v>
      </c>
      <c r="B42" s="18" t="s">
        <v>456</v>
      </c>
      <c r="C42" s="18" t="s">
        <v>661</v>
      </c>
      <c r="D42" s="18" t="s">
        <v>461</v>
      </c>
      <c r="E42" s="18" t="s">
        <v>651</v>
      </c>
      <c r="F42" s="18" t="s">
        <v>613</v>
      </c>
      <c r="G42" s="18" t="s">
        <v>602</v>
      </c>
      <c r="H42" s="18" t="s">
        <v>602</v>
      </c>
    </row>
    <row r="43" spans="1:8" ht="23.25" x14ac:dyDescent="0.45">
      <c r="A43" s="16" t="s">
        <v>465</v>
      </c>
      <c r="B43" s="18" t="s">
        <v>466</v>
      </c>
      <c r="C43" s="18" t="s">
        <v>660</v>
      </c>
      <c r="D43" s="18" t="s">
        <v>470</v>
      </c>
      <c r="E43" s="18" t="s">
        <v>608</v>
      </c>
      <c r="F43" s="18" t="s">
        <v>662</v>
      </c>
      <c r="G43" s="18" t="s">
        <v>602</v>
      </c>
      <c r="H43" s="18" t="s">
        <v>602</v>
      </c>
    </row>
    <row r="44" spans="1:8" ht="23.25" x14ac:dyDescent="0.45">
      <c r="A44" s="16" t="s">
        <v>473</v>
      </c>
      <c r="B44" s="18" t="s">
        <v>474</v>
      </c>
      <c r="C44" s="18" t="s">
        <v>663</v>
      </c>
      <c r="D44" s="18" t="s">
        <v>479</v>
      </c>
      <c r="E44" s="18" t="s">
        <v>651</v>
      </c>
      <c r="F44" s="18" t="s">
        <v>613</v>
      </c>
      <c r="G44" s="18" t="s">
        <v>602</v>
      </c>
      <c r="H44" s="18" t="s">
        <v>602</v>
      </c>
    </row>
    <row r="45" spans="1:8" ht="23.25" x14ac:dyDescent="0.45">
      <c r="A45" s="16" t="s">
        <v>482</v>
      </c>
      <c r="B45" s="18" t="s">
        <v>483</v>
      </c>
      <c r="C45" s="18" t="s">
        <v>661</v>
      </c>
      <c r="D45" s="18" t="s">
        <v>488</v>
      </c>
      <c r="E45" s="18" t="s">
        <v>651</v>
      </c>
      <c r="F45" s="18" t="s">
        <v>613</v>
      </c>
      <c r="G45" s="18" t="s">
        <v>602</v>
      </c>
      <c r="H45" s="18" t="s">
        <v>617</v>
      </c>
    </row>
    <row r="46" spans="1:8" ht="23.25" x14ac:dyDescent="0.45">
      <c r="A46" s="16" t="s">
        <v>492</v>
      </c>
      <c r="B46" s="18" t="s">
        <v>493</v>
      </c>
      <c r="C46" s="18" t="s">
        <v>661</v>
      </c>
      <c r="D46" s="18" t="s">
        <v>498</v>
      </c>
      <c r="E46" s="18" t="s">
        <v>651</v>
      </c>
      <c r="F46" s="18" t="s">
        <v>613</v>
      </c>
      <c r="G46" s="18" t="s">
        <v>602</v>
      </c>
      <c r="H46" s="18" t="s">
        <v>602</v>
      </c>
    </row>
    <row r="47" spans="1:8" ht="34.9" x14ac:dyDescent="0.45">
      <c r="A47" s="16" t="s">
        <v>503</v>
      </c>
      <c r="B47" s="18" t="s">
        <v>504</v>
      </c>
      <c r="C47" s="18" t="s">
        <v>664</v>
      </c>
      <c r="D47" s="18" t="s">
        <v>508</v>
      </c>
      <c r="E47" s="18" t="s">
        <v>651</v>
      </c>
      <c r="F47" s="18" t="s">
        <v>635</v>
      </c>
      <c r="G47" s="18" t="s">
        <v>602</v>
      </c>
      <c r="H47" s="18" t="s">
        <v>602</v>
      </c>
    </row>
    <row r="48" spans="1:8" ht="34.9" x14ac:dyDescent="0.45">
      <c r="A48" s="16" t="s">
        <v>511</v>
      </c>
      <c r="B48" s="18" t="s">
        <v>512</v>
      </c>
      <c r="C48" s="18" t="s">
        <v>665</v>
      </c>
      <c r="D48" s="18" t="s">
        <v>517</v>
      </c>
      <c r="E48" s="18" t="s">
        <v>651</v>
      </c>
      <c r="F48" s="18" t="s">
        <v>666</v>
      </c>
      <c r="G48" s="18" t="s">
        <v>602</v>
      </c>
      <c r="H48" s="18" t="s">
        <v>602</v>
      </c>
    </row>
    <row r="49" spans="1:8" ht="23.25" x14ac:dyDescent="0.45">
      <c r="A49" s="16" t="s">
        <v>521</v>
      </c>
      <c r="B49" s="18" t="s">
        <v>522</v>
      </c>
      <c r="C49" s="18" t="s">
        <v>650</v>
      </c>
      <c r="D49" s="18" t="s">
        <v>527</v>
      </c>
      <c r="E49" s="18" t="s">
        <v>651</v>
      </c>
      <c r="F49" s="18" t="s">
        <v>613</v>
      </c>
      <c r="G49" s="18" t="s">
        <v>602</v>
      </c>
      <c r="H49" s="18" t="s">
        <v>602</v>
      </c>
    </row>
    <row r="50" spans="1:8" ht="23.25" x14ac:dyDescent="0.45">
      <c r="A50" s="16" t="s">
        <v>531</v>
      </c>
      <c r="B50" s="18" t="s">
        <v>532</v>
      </c>
      <c r="C50" s="18" t="s">
        <v>663</v>
      </c>
      <c r="D50" s="18" t="s">
        <v>537</v>
      </c>
      <c r="E50" s="18" t="s">
        <v>651</v>
      </c>
      <c r="F50" s="18" t="s">
        <v>613</v>
      </c>
      <c r="G50" s="18" t="s">
        <v>602</v>
      </c>
      <c r="H50" s="18" t="s">
        <v>654</v>
      </c>
    </row>
  </sheetData>
  <autoFilter ref="A4:H50" xr:uid="{00000000-0009-0000-0000-000005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25" x14ac:dyDescent="0.45"/>
  <cols>
    <col min="1" max="1" width="6" customWidth="1"/>
    <col min="2" max="2" width="28" customWidth="1"/>
    <col min="3" max="11" width="11" customWidth="1"/>
    <col min="12" max="12" width="44" customWidth="1"/>
  </cols>
  <sheetData>
    <row r="1" spans="1:12" ht="20.65" x14ac:dyDescent="0.6">
      <c r="A1" s="7" t="s">
        <v>667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 ht="26.25" x14ac:dyDescent="0.45">
      <c r="A4" s="15" t="s">
        <v>59</v>
      </c>
      <c r="B4" s="15" t="s">
        <v>593</v>
      </c>
      <c r="C4" s="15" t="s">
        <v>668</v>
      </c>
      <c r="D4" s="15" t="s">
        <v>669</v>
      </c>
      <c r="E4" s="15" t="s">
        <v>32</v>
      </c>
      <c r="F4" s="15" t="s">
        <v>670</v>
      </c>
      <c r="G4" s="15" t="s">
        <v>28</v>
      </c>
      <c r="H4" s="15" t="s">
        <v>42</v>
      </c>
      <c r="I4" s="15" t="s">
        <v>671</v>
      </c>
      <c r="J4" s="15" t="s">
        <v>30</v>
      </c>
      <c r="K4" s="15" t="s">
        <v>57</v>
      </c>
      <c r="L4" s="15" t="s">
        <v>672</v>
      </c>
    </row>
    <row r="5" spans="1:12" x14ac:dyDescent="0.45">
      <c r="A5" s="16" t="s">
        <v>76</v>
      </c>
      <c r="B5" s="18" t="s">
        <v>77</v>
      </c>
      <c r="C5" s="16"/>
      <c r="D5" s="16"/>
      <c r="E5" s="16"/>
      <c r="F5" s="16"/>
      <c r="G5" s="22" t="s">
        <v>673</v>
      </c>
      <c r="H5" s="22" t="s">
        <v>673</v>
      </c>
      <c r="I5" s="22" t="s">
        <v>673</v>
      </c>
      <c r="J5" s="16"/>
      <c r="K5" s="16"/>
      <c r="L5" s="18" t="s">
        <v>80</v>
      </c>
    </row>
    <row r="6" spans="1:12" ht="23.25" x14ac:dyDescent="0.45">
      <c r="A6" s="16" t="s">
        <v>88</v>
      </c>
      <c r="B6" s="18" t="s">
        <v>89</v>
      </c>
      <c r="C6" s="22" t="s">
        <v>673</v>
      </c>
      <c r="D6" s="16"/>
      <c r="E6" s="16"/>
      <c r="F6" s="16"/>
      <c r="G6" s="16"/>
      <c r="H6" s="16"/>
      <c r="I6" s="22" t="s">
        <v>673</v>
      </c>
      <c r="J6" s="16"/>
      <c r="K6" s="16"/>
      <c r="L6" s="18" t="s">
        <v>91</v>
      </c>
    </row>
    <row r="7" spans="1:12" ht="23.25" x14ac:dyDescent="0.45">
      <c r="A7" s="16" t="s">
        <v>99</v>
      </c>
      <c r="B7" s="18" t="s">
        <v>100</v>
      </c>
      <c r="C7" s="22" t="s">
        <v>673</v>
      </c>
      <c r="D7" s="16"/>
      <c r="E7" s="16"/>
      <c r="F7" s="16"/>
      <c r="G7" s="16"/>
      <c r="H7" s="16"/>
      <c r="I7" s="16"/>
      <c r="J7" s="16"/>
      <c r="K7" s="16"/>
      <c r="L7" s="18" t="s">
        <v>103</v>
      </c>
    </row>
    <row r="8" spans="1:12" ht="23.25" x14ac:dyDescent="0.45">
      <c r="A8" s="16" t="s">
        <v>109</v>
      </c>
      <c r="B8" s="18" t="s">
        <v>110</v>
      </c>
      <c r="C8" s="22" t="s">
        <v>673</v>
      </c>
      <c r="D8" s="16"/>
      <c r="E8" s="22" t="s">
        <v>673</v>
      </c>
      <c r="F8" s="16"/>
      <c r="G8" s="16"/>
      <c r="H8" s="16"/>
      <c r="I8" s="16"/>
      <c r="J8" s="16"/>
      <c r="K8" s="16"/>
      <c r="L8" s="18" t="s">
        <v>112</v>
      </c>
    </row>
    <row r="9" spans="1:12" ht="23.25" x14ac:dyDescent="0.45">
      <c r="A9" s="16" t="s">
        <v>118</v>
      </c>
      <c r="B9" s="18" t="s">
        <v>119</v>
      </c>
      <c r="C9" s="22" t="s">
        <v>673</v>
      </c>
      <c r="D9" s="16"/>
      <c r="E9" s="16"/>
      <c r="F9" s="22" t="s">
        <v>673</v>
      </c>
      <c r="G9" s="16"/>
      <c r="H9" s="16"/>
      <c r="I9" s="16"/>
      <c r="J9" s="16"/>
      <c r="K9" s="16"/>
      <c r="L9" s="18" t="s">
        <v>121</v>
      </c>
    </row>
    <row r="10" spans="1:12" ht="23.25" x14ac:dyDescent="0.45">
      <c r="A10" s="16" t="s">
        <v>127</v>
      </c>
      <c r="B10" s="18" t="s">
        <v>128</v>
      </c>
      <c r="C10" s="16"/>
      <c r="D10" s="16"/>
      <c r="E10" s="16"/>
      <c r="F10" s="16"/>
      <c r="G10" s="16"/>
      <c r="H10" s="16"/>
      <c r="I10" s="16"/>
      <c r="J10" s="16"/>
      <c r="K10" s="16"/>
      <c r="L10" s="18" t="s">
        <v>130</v>
      </c>
    </row>
    <row r="11" spans="1:12" ht="23.25" x14ac:dyDescent="0.45">
      <c r="A11" s="16" t="s">
        <v>137</v>
      </c>
      <c r="B11" s="18" t="s">
        <v>138</v>
      </c>
      <c r="C11" s="16"/>
      <c r="D11" s="16"/>
      <c r="E11" s="16"/>
      <c r="F11" s="16"/>
      <c r="G11" s="16"/>
      <c r="H11" s="16"/>
      <c r="I11" s="16"/>
      <c r="J11" s="16"/>
      <c r="K11" s="16"/>
      <c r="L11" s="18" t="s">
        <v>140</v>
      </c>
    </row>
    <row r="12" spans="1:12" ht="23.25" x14ac:dyDescent="0.45">
      <c r="A12" s="16" t="s">
        <v>145</v>
      </c>
      <c r="B12" s="18" t="s">
        <v>146</v>
      </c>
      <c r="C12" s="16"/>
      <c r="D12" s="16"/>
      <c r="E12" s="16"/>
      <c r="F12" s="16"/>
      <c r="G12" s="22" t="s">
        <v>673</v>
      </c>
      <c r="H12" s="22" t="s">
        <v>673</v>
      </c>
      <c r="I12" s="22" t="s">
        <v>673</v>
      </c>
      <c r="J12" s="16"/>
      <c r="K12" s="16"/>
      <c r="L12" s="18" t="s">
        <v>149</v>
      </c>
    </row>
    <row r="13" spans="1:12" ht="23.25" x14ac:dyDescent="0.45">
      <c r="A13" s="16" t="s">
        <v>157</v>
      </c>
      <c r="B13" s="18" t="s">
        <v>158</v>
      </c>
      <c r="C13" s="16"/>
      <c r="D13" s="16"/>
      <c r="E13" s="16"/>
      <c r="F13" s="16"/>
      <c r="G13" s="22" t="s">
        <v>673</v>
      </c>
      <c r="H13" s="16"/>
      <c r="I13" s="16"/>
      <c r="J13" s="16"/>
      <c r="K13" s="16"/>
      <c r="L13" s="18" t="s">
        <v>161</v>
      </c>
    </row>
    <row r="14" spans="1:12" ht="23.25" x14ac:dyDescent="0.45">
      <c r="A14" s="16" t="s">
        <v>167</v>
      </c>
      <c r="B14" s="18" t="s">
        <v>168</v>
      </c>
      <c r="C14" s="22" t="s">
        <v>673</v>
      </c>
      <c r="D14" s="16"/>
      <c r="E14" s="16"/>
      <c r="F14" s="16"/>
      <c r="G14" s="16"/>
      <c r="H14" s="22" t="s">
        <v>673</v>
      </c>
      <c r="I14" s="16"/>
      <c r="J14" s="16"/>
      <c r="K14" s="16"/>
      <c r="L14" s="18" t="s">
        <v>171</v>
      </c>
    </row>
    <row r="15" spans="1:12" ht="23.25" x14ac:dyDescent="0.45">
      <c r="A15" s="16" t="s">
        <v>178</v>
      </c>
      <c r="B15" s="18" t="s">
        <v>179</v>
      </c>
      <c r="C15" s="16"/>
      <c r="D15" s="16"/>
      <c r="E15" s="16"/>
      <c r="F15" s="16"/>
      <c r="G15" s="16"/>
      <c r="H15" s="16"/>
      <c r="I15" s="22" t="s">
        <v>673</v>
      </c>
      <c r="J15" s="16"/>
      <c r="K15" s="16"/>
      <c r="L15" s="18" t="s">
        <v>182</v>
      </c>
    </row>
    <row r="16" spans="1:12" ht="23.25" x14ac:dyDescent="0.45">
      <c r="A16" s="16" t="s">
        <v>188</v>
      </c>
      <c r="B16" s="18" t="s">
        <v>189</v>
      </c>
      <c r="C16" s="22" t="s">
        <v>673</v>
      </c>
      <c r="D16" s="16"/>
      <c r="E16" s="22" t="s">
        <v>673</v>
      </c>
      <c r="F16" s="16"/>
      <c r="G16" s="16"/>
      <c r="H16" s="16"/>
      <c r="I16" s="22" t="s">
        <v>673</v>
      </c>
      <c r="J16" s="16"/>
      <c r="K16" s="16"/>
      <c r="L16" s="18" t="s">
        <v>192</v>
      </c>
    </row>
    <row r="17" spans="1:12" ht="23.25" x14ac:dyDescent="0.45">
      <c r="A17" s="16" t="s">
        <v>198</v>
      </c>
      <c r="B17" s="18" t="s">
        <v>199</v>
      </c>
      <c r="C17" s="22" t="s">
        <v>673</v>
      </c>
      <c r="D17" s="16"/>
      <c r="E17" s="22" t="s">
        <v>673</v>
      </c>
      <c r="F17" s="16"/>
      <c r="G17" s="16"/>
      <c r="H17" s="16"/>
      <c r="I17" s="16"/>
      <c r="J17" s="16"/>
      <c r="K17" s="16"/>
      <c r="L17" s="18" t="s">
        <v>202</v>
      </c>
    </row>
    <row r="18" spans="1:12" ht="23.25" x14ac:dyDescent="0.45">
      <c r="A18" s="16" t="s">
        <v>208</v>
      </c>
      <c r="B18" s="18" t="s">
        <v>209</v>
      </c>
      <c r="C18" s="16"/>
      <c r="D18" s="16"/>
      <c r="E18" s="16"/>
      <c r="F18" s="16"/>
      <c r="G18" s="16"/>
      <c r="H18" s="16"/>
      <c r="I18" s="22" t="s">
        <v>673</v>
      </c>
      <c r="J18" s="22" t="s">
        <v>673</v>
      </c>
      <c r="K18" s="16"/>
      <c r="L18" s="18" t="s">
        <v>213</v>
      </c>
    </row>
    <row r="19" spans="1:12" ht="23.25" x14ac:dyDescent="0.45">
      <c r="A19" s="16" t="s">
        <v>220</v>
      </c>
      <c r="B19" s="18" t="s">
        <v>221</v>
      </c>
      <c r="C19" s="22" t="s">
        <v>673</v>
      </c>
      <c r="D19" s="16"/>
      <c r="E19" s="16"/>
      <c r="F19" s="22" t="s">
        <v>673</v>
      </c>
      <c r="G19" s="16"/>
      <c r="H19" s="16"/>
      <c r="I19" s="16"/>
      <c r="J19" s="16"/>
      <c r="K19" s="16"/>
      <c r="L19" s="18" t="s">
        <v>225</v>
      </c>
    </row>
    <row r="20" spans="1:12" ht="23.25" x14ac:dyDescent="0.45">
      <c r="A20" s="16" t="s">
        <v>232</v>
      </c>
      <c r="B20" s="18" t="s">
        <v>233</v>
      </c>
      <c r="C20" s="16"/>
      <c r="D20" s="16"/>
      <c r="E20" s="22" t="s">
        <v>673</v>
      </c>
      <c r="F20" s="16"/>
      <c r="G20" s="16"/>
      <c r="H20" s="16"/>
      <c r="I20" s="16"/>
      <c r="J20" s="16"/>
      <c r="K20" s="16"/>
      <c r="L20" s="18" t="s">
        <v>236</v>
      </c>
    </row>
    <row r="21" spans="1:12" ht="23.25" x14ac:dyDescent="0.45">
      <c r="A21" s="16" t="s">
        <v>242</v>
      </c>
      <c r="B21" s="18" t="s">
        <v>243</v>
      </c>
      <c r="C21" s="22" t="s">
        <v>673</v>
      </c>
      <c r="D21" s="16"/>
      <c r="E21" s="22" t="s">
        <v>673</v>
      </c>
      <c r="F21" s="16"/>
      <c r="G21" s="16"/>
      <c r="H21" s="16"/>
      <c r="I21" s="16"/>
      <c r="J21" s="16"/>
      <c r="K21" s="16"/>
      <c r="L21" s="18" t="s">
        <v>245</v>
      </c>
    </row>
    <row r="22" spans="1:12" ht="34.9" x14ac:dyDescent="0.45">
      <c r="A22" s="16" t="s">
        <v>251</v>
      </c>
      <c r="B22" s="18" t="s">
        <v>252</v>
      </c>
      <c r="C22" s="16"/>
      <c r="D22" s="16"/>
      <c r="E22" s="22" t="s">
        <v>673</v>
      </c>
      <c r="F22" s="16"/>
      <c r="G22" s="16"/>
      <c r="H22" s="16"/>
      <c r="I22" s="16"/>
      <c r="J22" s="16"/>
      <c r="K22" s="16"/>
      <c r="L22" s="18" t="s">
        <v>256</v>
      </c>
    </row>
    <row r="23" spans="1:12" ht="23.25" x14ac:dyDescent="0.45">
      <c r="A23" s="16" t="s">
        <v>264</v>
      </c>
      <c r="B23" s="18" t="s">
        <v>265</v>
      </c>
      <c r="C23" s="16"/>
      <c r="D23" s="16"/>
      <c r="E23" s="16"/>
      <c r="F23" s="16"/>
      <c r="G23" s="22" t="s">
        <v>673</v>
      </c>
      <c r="H23" s="16"/>
      <c r="I23" s="22" t="s">
        <v>673</v>
      </c>
      <c r="J23" s="22" t="s">
        <v>673</v>
      </c>
      <c r="K23" s="16"/>
      <c r="L23" s="18" t="s">
        <v>268</v>
      </c>
    </row>
    <row r="24" spans="1:12" ht="23.25" x14ac:dyDescent="0.45">
      <c r="A24" s="16" t="s">
        <v>274</v>
      </c>
      <c r="B24" s="18" t="s">
        <v>275</v>
      </c>
      <c r="C24" s="22" t="s">
        <v>673</v>
      </c>
      <c r="D24" s="16"/>
      <c r="E24" s="16"/>
      <c r="F24" s="16"/>
      <c r="G24" s="16"/>
      <c r="H24" s="16"/>
      <c r="I24" s="16"/>
      <c r="J24" s="16"/>
      <c r="K24" s="16"/>
      <c r="L24" s="18" t="s">
        <v>278</v>
      </c>
    </row>
    <row r="25" spans="1:12" ht="23.25" x14ac:dyDescent="0.45">
      <c r="A25" s="16" t="s">
        <v>284</v>
      </c>
      <c r="B25" s="18" t="s">
        <v>285</v>
      </c>
      <c r="C25" s="16"/>
      <c r="D25" s="16"/>
      <c r="E25" s="22" t="s">
        <v>673</v>
      </c>
      <c r="F25" s="16"/>
      <c r="G25" s="22" t="s">
        <v>673</v>
      </c>
      <c r="H25" s="16"/>
      <c r="I25" s="22" t="s">
        <v>673</v>
      </c>
      <c r="J25" s="16"/>
      <c r="K25" s="16"/>
      <c r="L25" s="18" t="s">
        <v>288</v>
      </c>
    </row>
    <row r="26" spans="1:12" ht="23.25" x14ac:dyDescent="0.45">
      <c r="A26" s="16" t="s">
        <v>294</v>
      </c>
      <c r="B26" s="18" t="s">
        <v>295</v>
      </c>
      <c r="C26" s="16"/>
      <c r="D26" s="16"/>
      <c r="E26" s="16"/>
      <c r="F26" s="16"/>
      <c r="G26" s="22" t="s">
        <v>673</v>
      </c>
      <c r="H26" s="16"/>
      <c r="I26" s="22" t="s">
        <v>673</v>
      </c>
      <c r="J26" s="22" t="s">
        <v>673</v>
      </c>
      <c r="K26" s="16"/>
      <c r="L26" s="18" t="s">
        <v>298</v>
      </c>
    </row>
    <row r="27" spans="1:12" ht="23.25" x14ac:dyDescent="0.45">
      <c r="A27" s="16" t="s">
        <v>304</v>
      </c>
      <c r="B27" s="18" t="s">
        <v>305</v>
      </c>
      <c r="C27" s="22" t="s">
        <v>673</v>
      </c>
      <c r="D27" s="16"/>
      <c r="E27" s="16"/>
      <c r="F27" s="16"/>
      <c r="G27" s="16"/>
      <c r="H27" s="16"/>
      <c r="I27" s="16"/>
      <c r="J27" s="16"/>
      <c r="K27" s="16"/>
      <c r="L27" s="18" t="s">
        <v>308</v>
      </c>
    </row>
    <row r="28" spans="1:12" ht="34.9" x14ac:dyDescent="0.45">
      <c r="A28" s="16" t="s">
        <v>315</v>
      </c>
      <c r="B28" s="18" t="s">
        <v>316</v>
      </c>
      <c r="C28" s="22" t="s">
        <v>673</v>
      </c>
      <c r="D28" s="16"/>
      <c r="E28" s="22" t="s">
        <v>673</v>
      </c>
      <c r="F28" s="16"/>
      <c r="G28" s="16"/>
      <c r="H28" s="16"/>
      <c r="I28" s="16"/>
      <c r="J28" s="16"/>
      <c r="K28" s="22" t="s">
        <v>673</v>
      </c>
      <c r="L28" s="18" t="s">
        <v>319</v>
      </c>
    </row>
    <row r="29" spans="1:12" ht="23.25" x14ac:dyDescent="0.45">
      <c r="A29" s="16" t="s">
        <v>325</v>
      </c>
      <c r="B29" s="18" t="s">
        <v>326</v>
      </c>
      <c r="C29" s="16"/>
      <c r="D29" s="16"/>
      <c r="E29" s="16"/>
      <c r="F29" s="16"/>
      <c r="G29" s="22" t="s">
        <v>673</v>
      </c>
      <c r="H29" s="16"/>
      <c r="I29" s="22" t="s">
        <v>673</v>
      </c>
      <c r="J29" s="22" t="s">
        <v>673</v>
      </c>
      <c r="K29" s="16"/>
      <c r="L29" s="18" t="s">
        <v>329</v>
      </c>
    </row>
    <row r="30" spans="1:12" ht="23.25" x14ac:dyDescent="0.45">
      <c r="A30" s="16" t="s">
        <v>335</v>
      </c>
      <c r="B30" s="18" t="s">
        <v>336</v>
      </c>
      <c r="C30" s="22" t="s">
        <v>673</v>
      </c>
      <c r="D30" s="16"/>
      <c r="E30" s="22" t="s">
        <v>673</v>
      </c>
      <c r="F30" s="16"/>
      <c r="G30" s="16"/>
      <c r="H30" s="16"/>
      <c r="I30" s="16"/>
      <c r="J30" s="22" t="s">
        <v>673</v>
      </c>
      <c r="K30" s="16"/>
      <c r="L30" s="18" t="s">
        <v>338</v>
      </c>
    </row>
    <row r="31" spans="1:12" ht="23.25" x14ac:dyDescent="0.45">
      <c r="A31" s="16" t="s">
        <v>344</v>
      </c>
      <c r="B31" s="18" t="s">
        <v>345</v>
      </c>
      <c r="C31" s="16"/>
      <c r="D31" s="16"/>
      <c r="E31" s="22" t="s">
        <v>673</v>
      </c>
      <c r="F31" s="22" t="s">
        <v>673</v>
      </c>
      <c r="G31" s="16"/>
      <c r="H31" s="16"/>
      <c r="I31" s="22" t="s">
        <v>673</v>
      </c>
      <c r="J31" s="16"/>
      <c r="K31" s="16"/>
      <c r="L31" s="18" t="s">
        <v>348</v>
      </c>
    </row>
    <row r="32" spans="1:12" ht="23.25" x14ac:dyDescent="0.45">
      <c r="A32" s="16" t="s">
        <v>354</v>
      </c>
      <c r="B32" s="18" t="s">
        <v>355</v>
      </c>
      <c r="C32" s="16"/>
      <c r="D32" s="16"/>
      <c r="E32" s="16"/>
      <c r="F32" s="16"/>
      <c r="G32" s="16"/>
      <c r="H32" s="16"/>
      <c r="I32" s="22" t="s">
        <v>673</v>
      </c>
      <c r="J32" s="16"/>
      <c r="K32" s="16"/>
      <c r="L32" s="18" t="s">
        <v>358</v>
      </c>
    </row>
    <row r="33" spans="1:12" ht="23.25" x14ac:dyDescent="0.45">
      <c r="A33" s="16" t="s">
        <v>364</v>
      </c>
      <c r="B33" s="18" t="s">
        <v>365</v>
      </c>
      <c r="C33" s="16"/>
      <c r="D33" s="16"/>
      <c r="E33" s="16"/>
      <c r="F33" s="16"/>
      <c r="G33" s="16"/>
      <c r="H33" s="16"/>
      <c r="I33" s="16"/>
      <c r="J33" s="16"/>
      <c r="K33" s="22" t="s">
        <v>673</v>
      </c>
      <c r="L33" s="18" t="s">
        <v>368</v>
      </c>
    </row>
    <row r="34" spans="1:12" ht="23.25" x14ac:dyDescent="0.45">
      <c r="A34" s="16" t="s">
        <v>374</v>
      </c>
      <c r="B34" s="18" t="s">
        <v>375</v>
      </c>
      <c r="C34" s="16"/>
      <c r="D34" s="16"/>
      <c r="E34" s="16"/>
      <c r="F34" s="16"/>
      <c r="G34" s="16"/>
      <c r="H34" s="16"/>
      <c r="I34" s="22" t="s">
        <v>673</v>
      </c>
      <c r="J34" s="16"/>
      <c r="K34" s="16"/>
      <c r="L34" s="18" t="s">
        <v>378</v>
      </c>
    </row>
    <row r="35" spans="1:12" ht="23.25" x14ac:dyDescent="0.45">
      <c r="A35" s="16" t="s">
        <v>384</v>
      </c>
      <c r="B35" s="18" t="s">
        <v>385</v>
      </c>
      <c r="C35" s="16"/>
      <c r="D35" s="16"/>
      <c r="E35" s="22" t="s">
        <v>673</v>
      </c>
      <c r="F35" s="16"/>
      <c r="G35" s="22" t="s">
        <v>673</v>
      </c>
      <c r="H35" s="16"/>
      <c r="I35" s="22" t="s">
        <v>673</v>
      </c>
      <c r="J35" s="22" t="s">
        <v>673</v>
      </c>
      <c r="K35" s="16"/>
      <c r="L35" s="18" t="s">
        <v>387</v>
      </c>
    </row>
    <row r="36" spans="1:12" ht="23.25" x14ac:dyDescent="0.45">
      <c r="A36" s="16" t="s">
        <v>393</v>
      </c>
      <c r="B36" s="18" t="s">
        <v>394</v>
      </c>
      <c r="C36" s="16"/>
      <c r="D36" s="16"/>
      <c r="E36" s="16"/>
      <c r="F36" s="22" t="s">
        <v>673</v>
      </c>
      <c r="G36" s="16"/>
      <c r="H36" s="16"/>
      <c r="I36" s="16"/>
      <c r="J36" s="16"/>
      <c r="K36" s="16"/>
      <c r="L36" s="18" t="s">
        <v>397</v>
      </c>
    </row>
    <row r="37" spans="1:12" ht="23.25" x14ac:dyDescent="0.45">
      <c r="A37" s="16" t="s">
        <v>403</v>
      </c>
      <c r="B37" s="18" t="s">
        <v>404</v>
      </c>
      <c r="C37" s="16"/>
      <c r="D37" s="16"/>
      <c r="E37" s="16"/>
      <c r="F37" s="16"/>
      <c r="G37" s="22" t="s">
        <v>673</v>
      </c>
      <c r="H37" s="16"/>
      <c r="I37" s="22" t="s">
        <v>673</v>
      </c>
      <c r="J37" s="16"/>
      <c r="K37" s="16"/>
      <c r="L37" s="18" t="s">
        <v>407</v>
      </c>
    </row>
    <row r="38" spans="1:12" ht="23.25" x14ac:dyDescent="0.45">
      <c r="A38" s="16" t="s">
        <v>414</v>
      </c>
      <c r="B38" s="18" t="s">
        <v>415</v>
      </c>
      <c r="C38" s="22" t="s">
        <v>673</v>
      </c>
      <c r="D38" s="16"/>
      <c r="E38" s="22" t="s">
        <v>673</v>
      </c>
      <c r="F38" s="16"/>
      <c r="G38" s="16"/>
      <c r="H38" s="16"/>
      <c r="I38" s="16"/>
      <c r="J38" s="16"/>
      <c r="K38" s="16"/>
      <c r="L38" s="18" t="s">
        <v>419</v>
      </c>
    </row>
    <row r="39" spans="1:12" ht="23.25" x14ac:dyDescent="0.45">
      <c r="A39" s="16" t="s">
        <v>426</v>
      </c>
      <c r="B39" s="18" t="s">
        <v>427</v>
      </c>
      <c r="C39" s="22" t="s">
        <v>673</v>
      </c>
      <c r="D39" s="16"/>
      <c r="E39" s="16"/>
      <c r="F39" s="16"/>
      <c r="G39" s="16"/>
      <c r="H39" s="16"/>
      <c r="I39" s="22" t="s">
        <v>673</v>
      </c>
      <c r="J39" s="16"/>
      <c r="K39" s="16"/>
      <c r="L39" s="18" t="s">
        <v>430</v>
      </c>
    </row>
    <row r="40" spans="1:12" ht="23.25" x14ac:dyDescent="0.45">
      <c r="A40" s="16" t="s">
        <v>436</v>
      </c>
      <c r="B40" s="18" t="s">
        <v>437</v>
      </c>
      <c r="C40" s="16"/>
      <c r="D40" s="16"/>
      <c r="E40" s="22" t="s">
        <v>673</v>
      </c>
      <c r="F40" s="16"/>
      <c r="G40" s="16"/>
      <c r="H40" s="16"/>
      <c r="I40" s="16"/>
      <c r="J40" s="16"/>
      <c r="K40" s="16"/>
      <c r="L40" s="18" t="s">
        <v>440</v>
      </c>
    </row>
    <row r="41" spans="1:12" x14ac:dyDescent="0.45">
      <c r="A41" s="16" t="s">
        <v>445</v>
      </c>
      <c r="B41" s="18" t="s">
        <v>446</v>
      </c>
      <c r="C41" s="16"/>
      <c r="D41" s="16"/>
      <c r="E41" s="22" t="s">
        <v>673</v>
      </c>
      <c r="F41" s="16"/>
      <c r="G41" s="16"/>
      <c r="H41" s="16"/>
      <c r="I41" s="16"/>
      <c r="J41" s="16"/>
      <c r="K41" s="16"/>
      <c r="L41" s="18" t="s">
        <v>449</v>
      </c>
    </row>
    <row r="42" spans="1:12" ht="23.25" x14ac:dyDescent="0.45">
      <c r="A42" s="16" t="s">
        <v>455</v>
      </c>
      <c r="B42" s="18" t="s">
        <v>456</v>
      </c>
      <c r="C42" s="16"/>
      <c r="D42" s="16"/>
      <c r="E42" s="16"/>
      <c r="F42" s="22" t="s">
        <v>673</v>
      </c>
      <c r="G42" s="16"/>
      <c r="H42" s="16"/>
      <c r="I42" s="16"/>
      <c r="J42" s="16"/>
      <c r="K42" s="16"/>
      <c r="L42" s="18" t="s">
        <v>459</v>
      </c>
    </row>
    <row r="43" spans="1:12" x14ac:dyDescent="0.45">
      <c r="A43" s="16" t="s">
        <v>465</v>
      </c>
      <c r="B43" s="18" t="s">
        <v>466</v>
      </c>
      <c r="C43" s="22" t="s">
        <v>673</v>
      </c>
      <c r="D43" s="16"/>
      <c r="E43" s="16"/>
      <c r="F43" s="16"/>
      <c r="G43" s="16"/>
      <c r="H43" s="16"/>
      <c r="I43" s="16"/>
      <c r="J43" s="16"/>
      <c r="K43" s="16"/>
      <c r="L43" s="18" t="s">
        <v>468</v>
      </c>
    </row>
    <row r="44" spans="1:12" ht="23.25" x14ac:dyDescent="0.45">
      <c r="A44" s="16" t="s">
        <v>473</v>
      </c>
      <c r="B44" s="18" t="s">
        <v>474</v>
      </c>
      <c r="C44" s="16"/>
      <c r="D44" s="16"/>
      <c r="E44" s="22" t="s">
        <v>673</v>
      </c>
      <c r="F44" s="16"/>
      <c r="G44" s="16"/>
      <c r="H44" s="16"/>
      <c r="I44" s="16"/>
      <c r="J44" s="16"/>
      <c r="K44" s="16"/>
      <c r="L44" s="18" t="s">
        <v>477</v>
      </c>
    </row>
    <row r="45" spans="1:12" ht="23.25" x14ac:dyDescent="0.45">
      <c r="A45" s="16" t="s">
        <v>482</v>
      </c>
      <c r="B45" s="18" t="s">
        <v>483</v>
      </c>
      <c r="C45" s="22" t="s">
        <v>673</v>
      </c>
      <c r="D45" s="16"/>
      <c r="E45" s="16"/>
      <c r="F45" s="16"/>
      <c r="G45" s="22" t="s">
        <v>673</v>
      </c>
      <c r="H45" s="16"/>
      <c r="I45" s="16"/>
      <c r="J45" s="16"/>
      <c r="K45" s="16"/>
      <c r="L45" s="18" t="s">
        <v>486</v>
      </c>
    </row>
    <row r="46" spans="1:12" ht="23.25" x14ac:dyDescent="0.45">
      <c r="A46" s="16" t="s">
        <v>492</v>
      </c>
      <c r="B46" s="18" t="s">
        <v>493</v>
      </c>
      <c r="C46" s="16"/>
      <c r="D46" s="16"/>
      <c r="E46" s="22" t="s">
        <v>673</v>
      </c>
      <c r="F46" s="16"/>
      <c r="G46" s="16"/>
      <c r="H46" s="16"/>
      <c r="I46" s="22" t="s">
        <v>673</v>
      </c>
      <c r="J46" s="16"/>
      <c r="K46" s="16"/>
      <c r="L46" s="18" t="s">
        <v>496</v>
      </c>
    </row>
    <row r="47" spans="1:12" ht="23.25" x14ac:dyDescent="0.45">
      <c r="A47" s="16" t="s">
        <v>503</v>
      </c>
      <c r="B47" s="18" t="s">
        <v>504</v>
      </c>
      <c r="C47" s="22" t="s">
        <v>673</v>
      </c>
      <c r="D47" s="16"/>
      <c r="E47" s="16"/>
      <c r="F47" s="16"/>
      <c r="G47" s="22" t="s">
        <v>673</v>
      </c>
      <c r="H47" s="16"/>
      <c r="I47" s="22" t="s">
        <v>673</v>
      </c>
      <c r="J47" s="16"/>
      <c r="K47" s="16"/>
      <c r="L47" s="18" t="s">
        <v>506</v>
      </c>
    </row>
    <row r="48" spans="1:12" ht="23.25" x14ac:dyDescent="0.45">
      <c r="A48" s="16" t="s">
        <v>511</v>
      </c>
      <c r="B48" s="18" t="s">
        <v>512</v>
      </c>
      <c r="C48" s="16"/>
      <c r="D48" s="22" t="s">
        <v>673</v>
      </c>
      <c r="E48" s="16"/>
      <c r="F48" s="16"/>
      <c r="G48" s="16"/>
      <c r="H48" s="16"/>
      <c r="I48" s="22" t="s">
        <v>673</v>
      </c>
      <c r="J48" s="16"/>
      <c r="K48" s="16"/>
      <c r="L48" s="18" t="s">
        <v>515</v>
      </c>
    </row>
    <row r="49" spans="1:12" ht="23.25" x14ac:dyDescent="0.45">
      <c r="A49" s="16" t="s">
        <v>521</v>
      </c>
      <c r="B49" s="18" t="s">
        <v>522</v>
      </c>
      <c r="C49" s="16"/>
      <c r="D49" s="16"/>
      <c r="E49" s="16"/>
      <c r="F49" s="16"/>
      <c r="G49" s="16"/>
      <c r="H49" s="16"/>
      <c r="I49" s="16"/>
      <c r="J49" s="16"/>
      <c r="K49" s="16"/>
      <c r="L49" s="18" t="s">
        <v>525</v>
      </c>
    </row>
    <row r="50" spans="1:12" ht="23.25" x14ac:dyDescent="0.45">
      <c r="A50" s="16" t="s">
        <v>531</v>
      </c>
      <c r="B50" s="18" t="s">
        <v>532</v>
      </c>
      <c r="C50" s="16"/>
      <c r="D50" s="16"/>
      <c r="E50" s="22" t="s">
        <v>673</v>
      </c>
      <c r="F50" s="16"/>
      <c r="G50" s="16"/>
      <c r="H50" s="16"/>
      <c r="I50" s="22" t="s">
        <v>673</v>
      </c>
      <c r="J50" s="16"/>
      <c r="K50" s="16"/>
      <c r="L50" s="18" t="s">
        <v>535</v>
      </c>
    </row>
  </sheetData>
  <autoFilter ref="A4:L50" xr:uid="{00000000-0009-0000-0000-000006000000}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25" x14ac:dyDescent="0.45"/>
  <cols>
    <col min="1" max="1" width="6" customWidth="1"/>
    <col min="2" max="2" width="28" customWidth="1"/>
    <col min="3" max="8" width="13" customWidth="1"/>
    <col min="9" max="9" width="46" customWidth="1"/>
  </cols>
  <sheetData>
    <row r="1" spans="1:9" ht="20.65" x14ac:dyDescent="0.6">
      <c r="A1" s="7" t="s">
        <v>674</v>
      </c>
      <c r="B1" s="7"/>
      <c r="C1" s="7"/>
      <c r="D1" s="7"/>
      <c r="E1" s="7"/>
      <c r="F1" s="7"/>
      <c r="G1" s="7"/>
      <c r="H1" s="7"/>
      <c r="I1" s="7"/>
    </row>
    <row r="2" spans="1:9" x14ac:dyDescent="0.45">
      <c r="A2" s="6"/>
      <c r="B2" s="6"/>
      <c r="C2" s="6"/>
      <c r="D2" s="6"/>
      <c r="E2" s="6"/>
      <c r="F2" s="6"/>
      <c r="G2" s="6"/>
      <c r="H2" s="6"/>
      <c r="I2" s="6"/>
    </row>
    <row r="4" spans="1:9" ht="26.25" x14ac:dyDescent="0.45">
      <c r="A4" s="15" t="s">
        <v>59</v>
      </c>
      <c r="B4" s="15" t="s">
        <v>593</v>
      </c>
      <c r="C4" s="15" t="s">
        <v>675</v>
      </c>
      <c r="D4" s="15" t="s">
        <v>676</v>
      </c>
      <c r="E4" s="15" t="s">
        <v>677</v>
      </c>
      <c r="F4" s="15" t="s">
        <v>678</v>
      </c>
      <c r="G4" s="15" t="s">
        <v>679</v>
      </c>
      <c r="H4" s="15" t="s">
        <v>680</v>
      </c>
      <c r="I4" s="15" t="s">
        <v>681</v>
      </c>
    </row>
    <row r="5" spans="1:9" ht="23.25" x14ac:dyDescent="0.45">
      <c r="A5" s="16" t="s">
        <v>76</v>
      </c>
      <c r="B5" s="18" t="s">
        <v>77</v>
      </c>
      <c r="C5" s="23" t="s">
        <v>602</v>
      </c>
      <c r="D5" s="23" t="s">
        <v>602</v>
      </c>
      <c r="E5" s="24" t="s">
        <v>97</v>
      </c>
      <c r="F5" s="23" t="s">
        <v>602</v>
      </c>
      <c r="G5" s="23" t="s">
        <v>602</v>
      </c>
      <c r="H5" s="25" t="s">
        <v>86</v>
      </c>
      <c r="I5" s="18" t="s">
        <v>84</v>
      </c>
    </row>
    <row r="6" spans="1:9" ht="23.25" x14ac:dyDescent="0.45">
      <c r="A6" s="16" t="s">
        <v>88</v>
      </c>
      <c r="B6" s="18" t="s">
        <v>89</v>
      </c>
      <c r="C6" s="23" t="s">
        <v>602</v>
      </c>
      <c r="D6" s="24" t="s">
        <v>97</v>
      </c>
      <c r="E6" s="23" t="s">
        <v>602</v>
      </c>
      <c r="F6" s="23" t="s">
        <v>602</v>
      </c>
      <c r="G6" s="23" t="s">
        <v>602</v>
      </c>
      <c r="H6" s="23" t="s">
        <v>602</v>
      </c>
      <c r="I6" s="18" t="s">
        <v>95</v>
      </c>
    </row>
    <row r="7" spans="1:9" x14ac:dyDescent="0.45">
      <c r="A7" s="16" t="s">
        <v>99</v>
      </c>
      <c r="B7" s="18" t="s">
        <v>100</v>
      </c>
      <c r="C7" s="24" t="s">
        <v>97</v>
      </c>
      <c r="D7" s="23" t="s">
        <v>602</v>
      </c>
      <c r="E7" s="24" t="s">
        <v>97</v>
      </c>
      <c r="F7" s="23" t="s">
        <v>602</v>
      </c>
      <c r="G7" s="23" t="s">
        <v>602</v>
      </c>
      <c r="H7" s="23" t="s">
        <v>602</v>
      </c>
      <c r="I7" s="18" t="s">
        <v>107</v>
      </c>
    </row>
    <row r="8" spans="1:9" ht="23.25" x14ac:dyDescent="0.45">
      <c r="A8" s="16" t="s">
        <v>109</v>
      </c>
      <c r="B8" s="18" t="s">
        <v>110</v>
      </c>
      <c r="C8" s="23" t="s">
        <v>602</v>
      </c>
      <c r="D8" s="24" t="s">
        <v>97</v>
      </c>
      <c r="E8" s="24" t="s">
        <v>97</v>
      </c>
      <c r="F8" s="23" t="s">
        <v>602</v>
      </c>
      <c r="G8" s="23" t="s">
        <v>602</v>
      </c>
      <c r="H8" s="23" t="s">
        <v>602</v>
      </c>
      <c r="I8" s="18" t="s">
        <v>116</v>
      </c>
    </row>
    <row r="9" spans="1:9" ht="23.25" x14ac:dyDescent="0.45">
      <c r="A9" s="16" t="s">
        <v>118</v>
      </c>
      <c r="B9" s="18" t="s">
        <v>119</v>
      </c>
      <c r="C9" s="23" t="s">
        <v>602</v>
      </c>
      <c r="D9" s="24" t="s">
        <v>97</v>
      </c>
      <c r="E9" s="25" t="s">
        <v>86</v>
      </c>
      <c r="F9" s="23" t="s">
        <v>602</v>
      </c>
      <c r="G9" s="23" t="s">
        <v>602</v>
      </c>
      <c r="H9" s="24" t="s">
        <v>97</v>
      </c>
      <c r="I9" s="18" t="s">
        <v>125</v>
      </c>
    </row>
    <row r="10" spans="1:9" ht="23.25" x14ac:dyDescent="0.45">
      <c r="A10" s="16" t="s">
        <v>127</v>
      </c>
      <c r="B10" s="18" t="s">
        <v>128</v>
      </c>
      <c r="C10" s="23" t="s">
        <v>602</v>
      </c>
      <c r="D10" s="23" t="s">
        <v>602</v>
      </c>
      <c r="E10" s="25" t="s">
        <v>86</v>
      </c>
      <c r="F10" s="23" t="s">
        <v>602</v>
      </c>
      <c r="G10" s="23" t="s">
        <v>602</v>
      </c>
      <c r="H10" s="23" t="s">
        <v>602</v>
      </c>
      <c r="I10" s="18" t="s">
        <v>134</v>
      </c>
    </row>
    <row r="11" spans="1:9" ht="23.25" x14ac:dyDescent="0.45">
      <c r="A11" s="16" t="s">
        <v>137</v>
      </c>
      <c r="B11" s="18" t="s">
        <v>138</v>
      </c>
      <c r="C11" s="23" t="s">
        <v>602</v>
      </c>
      <c r="D11" s="24" t="s">
        <v>97</v>
      </c>
      <c r="E11" s="24" t="s">
        <v>97</v>
      </c>
      <c r="F11" s="23" t="s">
        <v>602</v>
      </c>
      <c r="G11" s="23" t="s">
        <v>602</v>
      </c>
      <c r="H11" s="23" t="s">
        <v>602</v>
      </c>
      <c r="I11" s="18" t="s">
        <v>143</v>
      </c>
    </row>
    <row r="12" spans="1:9" ht="23.25" x14ac:dyDescent="0.45">
      <c r="A12" s="16" t="s">
        <v>145</v>
      </c>
      <c r="B12" s="18" t="s">
        <v>146</v>
      </c>
      <c r="C12" s="23" t="s">
        <v>602</v>
      </c>
      <c r="D12" s="23" t="s">
        <v>602</v>
      </c>
      <c r="E12" s="23" t="s">
        <v>602</v>
      </c>
      <c r="F12" s="23" t="s">
        <v>602</v>
      </c>
      <c r="G12" s="23" t="s">
        <v>602</v>
      </c>
      <c r="H12" s="23" t="s">
        <v>602</v>
      </c>
      <c r="I12" s="18" t="s">
        <v>153</v>
      </c>
    </row>
    <row r="13" spans="1:9" ht="23.25" x14ac:dyDescent="0.45">
      <c r="A13" s="16" t="s">
        <v>157</v>
      </c>
      <c r="B13" s="18" t="s">
        <v>158</v>
      </c>
      <c r="C13" s="23" t="s">
        <v>602</v>
      </c>
      <c r="D13" s="23" t="s">
        <v>602</v>
      </c>
      <c r="E13" s="24" t="s">
        <v>97</v>
      </c>
      <c r="F13" s="23" t="s">
        <v>602</v>
      </c>
      <c r="G13" s="23" t="s">
        <v>602</v>
      </c>
      <c r="H13" s="23" t="s">
        <v>602</v>
      </c>
      <c r="I13" s="18" t="s">
        <v>165</v>
      </c>
    </row>
    <row r="14" spans="1:9" x14ac:dyDescent="0.45">
      <c r="A14" s="16" t="s">
        <v>167</v>
      </c>
      <c r="B14" s="18" t="s">
        <v>168</v>
      </c>
      <c r="C14" s="23" t="s">
        <v>602</v>
      </c>
      <c r="D14" s="23" t="s">
        <v>602</v>
      </c>
      <c r="E14" s="24" t="s">
        <v>97</v>
      </c>
      <c r="F14" s="23" t="s">
        <v>602</v>
      </c>
      <c r="G14" s="23" t="s">
        <v>602</v>
      </c>
      <c r="H14" s="23" t="s">
        <v>602</v>
      </c>
      <c r="I14" s="18" t="s">
        <v>175</v>
      </c>
    </row>
    <row r="15" spans="1:9" ht="23.25" x14ac:dyDescent="0.45">
      <c r="A15" s="16" t="s">
        <v>178</v>
      </c>
      <c r="B15" s="18" t="s">
        <v>179</v>
      </c>
      <c r="C15" s="23" t="s">
        <v>602</v>
      </c>
      <c r="D15" s="23" t="s">
        <v>602</v>
      </c>
      <c r="E15" s="23" t="s">
        <v>602</v>
      </c>
      <c r="F15" s="23" t="s">
        <v>602</v>
      </c>
      <c r="G15" s="23" t="s">
        <v>602</v>
      </c>
      <c r="H15" s="23" t="s">
        <v>602</v>
      </c>
      <c r="I15" s="18" t="s">
        <v>186</v>
      </c>
    </row>
    <row r="16" spans="1:9" ht="23.25" x14ac:dyDescent="0.45">
      <c r="A16" s="16" t="s">
        <v>188</v>
      </c>
      <c r="B16" s="18" t="s">
        <v>189</v>
      </c>
      <c r="C16" s="23" t="s">
        <v>602</v>
      </c>
      <c r="D16" s="23" t="s">
        <v>602</v>
      </c>
      <c r="E16" s="24" t="s">
        <v>97</v>
      </c>
      <c r="F16" s="23" t="s">
        <v>602</v>
      </c>
      <c r="G16" s="23" t="s">
        <v>602</v>
      </c>
      <c r="H16" s="23" t="s">
        <v>602</v>
      </c>
      <c r="I16" s="18" t="s">
        <v>196</v>
      </c>
    </row>
    <row r="17" spans="1:9" ht="23.25" x14ac:dyDescent="0.45">
      <c r="A17" s="16" t="s">
        <v>198</v>
      </c>
      <c r="B17" s="18" t="s">
        <v>199</v>
      </c>
      <c r="C17" s="24" t="s">
        <v>97</v>
      </c>
      <c r="D17" s="23" t="s">
        <v>602</v>
      </c>
      <c r="E17" s="23" t="s">
        <v>602</v>
      </c>
      <c r="F17" s="23" t="s">
        <v>602</v>
      </c>
      <c r="G17" s="24" t="s">
        <v>97</v>
      </c>
      <c r="H17" s="23" t="s">
        <v>602</v>
      </c>
      <c r="I17" s="18" t="s">
        <v>206</v>
      </c>
    </row>
    <row r="18" spans="1:9" ht="23.25" x14ac:dyDescent="0.45">
      <c r="A18" s="16" t="s">
        <v>208</v>
      </c>
      <c r="B18" s="18" t="s">
        <v>209</v>
      </c>
      <c r="C18" s="24" t="s">
        <v>97</v>
      </c>
      <c r="D18" s="23" t="s">
        <v>602</v>
      </c>
      <c r="E18" s="24" t="s">
        <v>97</v>
      </c>
      <c r="F18" s="23" t="s">
        <v>602</v>
      </c>
      <c r="G18" s="24" t="s">
        <v>97</v>
      </c>
      <c r="H18" s="23" t="s">
        <v>602</v>
      </c>
      <c r="I18" s="18" t="s">
        <v>218</v>
      </c>
    </row>
    <row r="19" spans="1:9" ht="23.25" x14ac:dyDescent="0.45">
      <c r="A19" s="16" t="s">
        <v>220</v>
      </c>
      <c r="B19" s="18" t="s">
        <v>221</v>
      </c>
      <c r="C19" s="23" t="s">
        <v>602</v>
      </c>
      <c r="D19" s="23" t="s">
        <v>602</v>
      </c>
      <c r="E19" s="25" t="s">
        <v>86</v>
      </c>
      <c r="F19" s="23" t="s">
        <v>602</v>
      </c>
      <c r="G19" s="23" t="s">
        <v>602</v>
      </c>
      <c r="H19" s="24" t="s">
        <v>97</v>
      </c>
      <c r="I19" s="18" t="s">
        <v>230</v>
      </c>
    </row>
    <row r="20" spans="1:9" x14ac:dyDescent="0.45">
      <c r="A20" s="16" t="s">
        <v>232</v>
      </c>
      <c r="B20" s="18" t="s">
        <v>233</v>
      </c>
      <c r="C20" s="23" t="s">
        <v>602</v>
      </c>
      <c r="D20" s="25" t="s">
        <v>86</v>
      </c>
      <c r="E20" s="23" t="s">
        <v>602</v>
      </c>
      <c r="F20" s="23" t="s">
        <v>602</v>
      </c>
      <c r="G20" s="23" t="s">
        <v>602</v>
      </c>
      <c r="H20" s="23" t="s">
        <v>602</v>
      </c>
      <c r="I20" s="18" t="s">
        <v>240</v>
      </c>
    </row>
    <row r="21" spans="1:9" x14ac:dyDescent="0.45">
      <c r="A21" s="16" t="s">
        <v>242</v>
      </c>
      <c r="B21" s="18" t="s">
        <v>243</v>
      </c>
      <c r="C21" s="24" t="s">
        <v>97</v>
      </c>
      <c r="D21" s="23" t="s">
        <v>602</v>
      </c>
      <c r="E21" s="23" t="s">
        <v>602</v>
      </c>
      <c r="F21" s="23" t="s">
        <v>602</v>
      </c>
      <c r="G21" s="24" t="s">
        <v>97</v>
      </c>
      <c r="H21" s="23" t="s">
        <v>602</v>
      </c>
      <c r="I21" s="18" t="s">
        <v>249</v>
      </c>
    </row>
    <row r="22" spans="1:9" ht="23.25" x14ac:dyDescent="0.45">
      <c r="A22" s="16" t="s">
        <v>251</v>
      </c>
      <c r="B22" s="18" t="s">
        <v>252</v>
      </c>
      <c r="C22" s="23" t="s">
        <v>602</v>
      </c>
      <c r="D22" s="23" t="s">
        <v>602</v>
      </c>
      <c r="E22" s="24" t="s">
        <v>97</v>
      </c>
      <c r="F22" s="23" t="s">
        <v>602</v>
      </c>
      <c r="G22" s="23" t="s">
        <v>602</v>
      </c>
      <c r="H22" s="23" t="s">
        <v>602</v>
      </c>
      <c r="I22" s="18" t="s">
        <v>261</v>
      </c>
    </row>
    <row r="23" spans="1:9" ht="23.25" x14ac:dyDescent="0.45">
      <c r="A23" s="16" t="s">
        <v>264</v>
      </c>
      <c r="B23" s="18" t="s">
        <v>265</v>
      </c>
      <c r="C23" s="23" t="s">
        <v>602</v>
      </c>
      <c r="D23" s="23" t="s">
        <v>602</v>
      </c>
      <c r="E23" s="23" t="s">
        <v>602</v>
      </c>
      <c r="F23" s="24" t="s">
        <v>97</v>
      </c>
      <c r="G23" s="23" t="s">
        <v>602</v>
      </c>
      <c r="H23" s="24" t="s">
        <v>97</v>
      </c>
      <c r="I23" s="18" t="s">
        <v>272</v>
      </c>
    </row>
    <row r="24" spans="1:9" x14ac:dyDescent="0.45">
      <c r="A24" s="16" t="s">
        <v>274</v>
      </c>
      <c r="B24" s="18" t="s">
        <v>275</v>
      </c>
      <c r="C24" s="23" t="s">
        <v>602</v>
      </c>
      <c r="D24" s="23" t="s">
        <v>602</v>
      </c>
      <c r="E24" s="24" t="s">
        <v>97</v>
      </c>
      <c r="F24" s="23" t="s">
        <v>602</v>
      </c>
      <c r="G24" s="23" t="s">
        <v>602</v>
      </c>
      <c r="H24" s="23" t="s">
        <v>602</v>
      </c>
      <c r="I24" s="18" t="s">
        <v>282</v>
      </c>
    </row>
    <row r="25" spans="1:9" x14ac:dyDescent="0.45">
      <c r="A25" s="16" t="s">
        <v>284</v>
      </c>
      <c r="B25" s="18" t="s">
        <v>285</v>
      </c>
      <c r="C25" s="23" t="s">
        <v>602</v>
      </c>
      <c r="D25" s="23" t="s">
        <v>602</v>
      </c>
      <c r="E25" s="24" t="s">
        <v>97</v>
      </c>
      <c r="F25" s="24" t="s">
        <v>97</v>
      </c>
      <c r="G25" s="23" t="s">
        <v>602</v>
      </c>
      <c r="H25" s="23" t="s">
        <v>602</v>
      </c>
      <c r="I25" s="18" t="s">
        <v>292</v>
      </c>
    </row>
    <row r="26" spans="1:9" x14ac:dyDescent="0.45">
      <c r="A26" s="16" t="s">
        <v>294</v>
      </c>
      <c r="B26" s="18" t="s">
        <v>295</v>
      </c>
      <c r="C26" s="23" t="s">
        <v>602</v>
      </c>
      <c r="D26" s="23" t="s">
        <v>602</v>
      </c>
      <c r="E26" s="24" t="s">
        <v>97</v>
      </c>
      <c r="F26" s="23" t="s">
        <v>602</v>
      </c>
      <c r="G26" s="24" t="s">
        <v>97</v>
      </c>
      <c r="H26" s="25" t="s">
        <v>86</v>
      </c>
      <c r="I26" s="18" t="s">
        <v>302</v>
      </c>
    </row>
    <row r="27" spans="1:9" ht="23.25" x14ac:dyDescent="0.45">
      <c r="A27" s="16" t="s">
        <v>304</v>
      </c>
      <c r="B27" s="18" t="s">
        <v>305</v>
      </c>
      <c r="C27" s="23" t="s">
        <v>602</v>
      </c>
      <c r="D27" s="23" t="s">
        <v>602</v>
      </c>
      <c r="E27" s="23" t="s">
        <v>602</v>
      </c>
      <c r="F27" s="25" t="s">
        <v>86</v>
      </c>
      <c r="G27" s="23" t="s">
        <v>602</v>
      </c>
      <c r="H27" s="23" t="s">
        <v>602</v>
      </c>
      <c r="I27" s="18" t="s">
        <v>313</v>
      </c>
    </row>
    <row r="28" spans="1:9" x14ac:dyDescent="0.45">
      <c r="A28" s="16" t="s">
        <v>315</v>
      </c>
      <c r="B28" s="18" t="s">
        <v>316</v>
      </c>
      <c r="C28" s="23" t="s">
        <v>602</v>
      </c>
      <c r="D28" s="24" t="s">
        <v>97</v>
      </c>
      <c r="E28" s="24" t="s">
        <v>97</v>
      </c>
      <c r="F28" s="23" t="s">
        <v>602</v>
      </c>
      <c r="G28" s="23" t="s">
        <v>602</v>
      </c>
      <c r="H28" s="24" t="s">
        <v>97</v>
      </c>
      <c r="I28" s="18" t="s">
        <v>323</v>
      </c>
    </row>
    <row r="29" spans="1:9" x14ac:dyDescent="0.45">
      <c r="A29" s="16" t="s">
        <v>325</v>
      </c>
      <c r="B29" s="18" t="s">
        <v>326</v>
      </c>
      <c r="C29" s="23" t="s">
        <v>602</v>
      </c>
      <c r="D29" s="23" t="s">
        <v>602</v>
      </c>
      <c r="E29" s="24" t="s">
        <v>97</v>
      </c>
      <c r="F29" s="23" t="s">
        <v>602</v>
      </c>
      <c r="G29" s="25" t="s">
        <v>86</v>
      </c>
      <c r="H29" s="25" t="s">
        <v>86</v>
      </c>
      <c r="I29" s="18" t="s">
        <v>333</v>
      </c>
    </row>
    <row r="30" spans="1:9" x14ac:dyDescent="0.45">
      <c r="A30" s="16" t="s">
        <v>335</v>
      </c>
      <c r="B30" s="18" t="s">
        <v>336</v>
      </c>
      <c r="C30" s="24" t="s">
        <v>97</v>
      </c>
      <c r="D30" s="23" t="s">
        <v>602</v>
      </c>
      <c r="E30" s="23" t="s">
        <v>602</v>
      </c>
      <c r="F30" s="25" t="s">
        <v>86</v>
      </c>
      <c r="G30" s="23" t="s">
        <v>602</v>
      </c>
      <c r="H30" s="23" t="s">
        <v>602</v>
      </c>
      <c r="I30" s="18" t="s">
        <v>342</v>
      </c>
    </row>
    <row r="31" spans="1:9" ht="23.25" x14ac:dyDescent="0.45">
      <c r="A31" s="16" t="s">
        <v>344</v>
      </c>
      <c r="B31" s="18" t="s">
        <v>345</v>
      </c>
      <c r="C31" s="23" t="s">
        <v>602</v>
      </c>
      <c r="D31" s="23" t="s">
        <v>602</v>
      </c>
      <c r="E31" s="23" t="s">
        <v>602</v>
      </c>
      <c r="F31" s="23" t="s">
        <v>602</v>
      </c>
      <c r="G31" s="23" t="s">
        <v>602</v>
      </c>
      <c r="H31" s="23" t="s">
        <v>602</v>
      </c>
      <c r="I31" s="18" t="s">
        <v>352</v>
      </c>
    </row>
    <row r="32" spans="1:9" ht="23.25" x14ac:dyDescent="0.45">
      <c r="A32" s="16" t="s">
        <v>354</v>
      </c>
      <c r="B32" s="18" t="s">
        <v>355</v>
      </c>
      <c r="C32" s="24" t="s">
        <v>97</v>
      </c>
      <c r="D32" s="23" t="s">
        <v>602</v>
      </c>
      <c r="E32" s="23" t="s">
        <v>602</v>
      </c>
      <c r="F32" s="23" t="s">
        <v>602</v>
      </c>
      <c r="G32" s="24" t="s">
        <v>97</v>
      </c>
      <c r="H32" s="23" t="s">
        <v>602</v>
      </c>
      <c r="I32" s="18" t="s">
        <v>362</v>
      </c>
    </row>
    <row r="33" spans="1:9" x14ac:dyDescent="0.45">
      <c r="A33" s="16" t="s">
        <v>364</v>
      </c>
      <c r="B33" s="18" t="s">
        <v>365</v>
      </c>
      <c r="C33" s="24" t="s">
        <v>97</v>
      </c>
      <c r="D33" s="23" t="s">
        <v>602</v>
      </c>
      <c r="E33" s="24" t="s">
        <v>97</v>
      </c>
      <c r="F33" s="23" t="s">
        <v>602</v>
      </c>
      <c r="G33" s="23" t="s">
        <v>602</v>
      </c>
      <c r="H33" s="23" t="s">
        <v>602</v>
      </c>
      <c r="I33" s="18" t="s">
        <v>372</v>
      </c>
    </row>
    <row r="34" spans="1:9" ht="23.25" x14ac:dyDescent="0.45">
      <c r="A34" s="16" t="s">
        <v>374</v>
      </c>
      <c r="B34" s="18" t="s">
        <v>375</v>
      </c>
      <c r="C34" s="24" t="s">
        <v>97</v>
      </c>
      <c r="D34" s="23" t="s">
        <v>602</v>
      </c>
      <c r="E34" s="23" t="s">
        <v>602</v>
      </c>
      <c r="F34" s="25" t="s">
        <v>86</v>
      </c>
      <c r="G34" s="23" t="s">
        <v>602</v>
      </c>
      <c r="H34" s="23" t="s">
        <v>602</v>
      </c>
      <c r="I34" s="18" t="s">
        <v>382</v>
      </c>
    </row>
    <row r="35" spans="1:9" x14ac:dyDescent="0.45">
      <c r="A35" s="16" t="s">
        <v>384</v>
      </c>
      <c r="B35" s="18" t="s">
        <v>385</v>
      </c>
      <c r="C35" s="24" t="s">
        <v>97</v>
      </c>
      <c r="D35" s="23" t="s">
        <v>602</v>
      </c>
      <c r="E35" s="23" t="s">
        <v>602</v>
      </c>
      <c r="F35" s="23" t="s">
        <v>602</v>
      </c>
      <c r="G35" s="24" t="s">
        <v>97</v>
      </c>
      <c r="H35" s="23" t="s">
        <v>602</v>
      </c>
      <c r="I35" s="18" t="s">
        <v>391</v>
      </c>
    </row>
    <row r="36" spans="1:9" ht="23.25" x14ac:dyDescent="0.45">
      <c r="A36" s="16" t="s">
        <v>393</v>
      </c>
      <c r="B36" s="18" t="s">
        <v>394</v>
      </c>
      <c r="C36" s="24" t="s">
        <v>97</v>
      </c>
      <c r="D36" s="23" t="s">
        <v>602</v>
      </c>
      <c r="E36" s="23" t="s">
        <v>602</v>
      </c>
      <c r="F36" s="25" t="s">
        <v>86</v>
      </c>
      <c r="G36" s="23" t="s">
        <v>602</v>
      </c>
      <c r="H36" s="23" t="s">
        <v>602</v>
      </c>
      <c r="I36" s="18" t="s">
        <v>401</v>
      </c>
    </row>
    <row r="37" spans="1:9" ht="23.25" x14ac:dyDescent="0.45">
      <c r="A37" s="16" t="s">
        <v>403</v>
      </c>
      <c r="B37" s="18" t="s">
        <v>404</v>
      </c>
      <c r="C37" s="24" t="s">
        <v>97</v>
      </c>
      <c r="D37" s="23" t="s">
        <v>602</v>
      </c>
      <c r="E37" s="23" t="s">
        <v>602</v>
      </c>
      <c r="F37" s="23" t="s">
        <v>602</v>
      </c>
      <c r="G37" s="23" t="s">
        <v>602</v>
      </c>
      <c r="H37" s="23" t="s">
        <v>602</v>
      </c>
      <c r="I37" s="18" t="s">
        <v>411</v>
      </c>
    </row>
    <row r="38" spans="1:9" ht="23.25" x14ac:dyDescent="0.45">
      <c r="A38" s="16" t="s">
        <v>414</v>
      </c>
      <c r="B38" s="18" t="s">
        <v>415</v>
      </c>
      <c r="C38" s="25" t="s">
        <v>86</v>
      </c>
      <c r="D38" s="23" t="s">
        <v>602</v>
      </c>
      <c r="E38" s="23" t="s">
        <v>602</v>
      </c>
      <c r="F38" s="24" t="s">
        <v>97</v>
      </c>
      <c r="G38" s="23" t="s">
        <v>602</v>
      </c>
      <c r="H38" s="23" t="s">
        <v>602</v>
      </c>
      <c r="I38" s="18" t="s">
        <v>424</v>
      </c>
    </row>
    <row r="39" spans="1:9" x14ac:dyDescent="0.45">
      <c r="A39" s="16" t="s">
        <v>426</v>
      </c>
      <c r="B39" s="18" t="s">
        <v>427</v>
      </c>
      <c r="C39" s="23" t="s">
        <v>602</v>
      </c>
      <c r="D39" s="23" t="s">
        <v>602</v>
      </c>
      <c r="E39" s="24" t="s">
        <v>97</v>
      </c>
      <c r="F39" s="24" t="s">
        <v>97</v>
      </c>
      <c r="G39" s="24" t="s">
        <v>97</v>
      </c>
      <c r="H39" s="23" t="s">
        <v>602</v>
      </c>
      <c r="I39" s="18" t="s">
        <v>434</v>
      </c>
    </row>
    <row r="40" spans="1:9" ht="23.25" x14ac:dyDescent="0.45">
      <c r="A40" s="16" t="s">
        <v>436</v>
      </c>
      <c r="B40" s="18" t="s">
        <v>437</v>
      </c>
      <c r="C40" s="25" t="s">
        <v>86</v>
      </c>
      <c r="D40" s="23" t="s">
        <v>602</v>
      </c>
      <c r="E40" s="24" t="s">
        <v>97</v>
      </c>
      <c r="F40" s="23" t="s">
        <v>602</v>
      </c>
      <c r="G40" s="24" t="s">
        <v>97</v>
      </c>
      <c r="H40" s="23" t="s">
        <v>602</v>
      </c>
      <c r="I40" s="18" t="s">
        <v>443</v>
      </c>
    </row>
    <row r="41" spans="1:9" ht="23.25" x14ac:dyDescent="0.45">
      <c r="A41" s="16" t="s">
        <v>445</v>
      </c>
      <c r="B41" s="18" t="s">
        <v>446</v>
      </c>
      <c r="C41" s="24" t="s">
        <v>97</v>
      </c>
      <c r="D41" s="23" t="s">
        <v>602</v>
      </c>
      <c r="E41" s="23" t="s">
        <v>602</v>
      </c>
      <c r="F41" s="23" t="s">
        <v>602</v>
      </c>
      <c r="G41" s="24" t="s">
        <v>97</v>
      </c>
      <c r="H41" s="23" t="s">
        <v>602</v>
      </c>
      <c r="I41" s="18" t="s">
        <v>453</v>
      </c>
    </row>
    <row r="42" spans="1:9" ht="23.25" x14ac:dyDescent="0.45">
      <c r="A42" s="16" t="s">
        <v>455</v>
      </c>
      <c r="B42" s="18" t="s">
        <v>456</v>
      </c>
      <c r="C42" s="23" t="s">
        <v>602</v>
      </c>
      <c r="D42" s="23" t="s">
        <v>602</v>
      </c>
      <c r="E42" s="24" t="s">
        <v>97</v>
      </c>
      <c r="F42" s="23" t="s">
        <v>602</v>
      </c>
      <c r="G42" s="24" t="s">
        <v>97</v>
      </c>
      <c r="H42" s="23" t="s">
        <v>602</v>
      </c>
      <c r="I42" s="18" t="s">
        <v>463</v>
      </c>
    </row>
    <row r="43" spans="1:9" x14ac:dyDescent="0.45">
      <c r="A43" s="16" t="s">
        <v>465</v>
      </c>
      <c r="B43" s="18" t="s">
        <v>466</v>
      </c>
      <c r="C43" s="23" t="s">
        <v>602</v>
      </c>
      <c r="D43" s="23" t="s">
        <v>602</v>
      </c>
      <c r="E43" s="23" t="s">
        <v>602</v>
      </c>
      <c r="F43" s="23" t="s">
        <v>602</v>
      </c>
      <c r="G43" s="23" t="s">
        <v>602</v>
      </c>
      <c r="H43" s="23" t="s">
        <v>602</v>
      </c>
      <c r="I43" s="18" t="s">
        <v>471</v>
      </c>
    </row>
    <row r="44" spans="1:9" x14ac:dyDescent="0.45">
      <c r="A44" s="16" t="s">
        <v>473</v>
      </c>
      <c r="B44" s="18" t="s">
        <v>474</v>
      </c>
      <c r="C44" s="25" t="s">
        <v>86</v>
      </c>
      <c r="D44" s="23" t="s">
        <v>602</v>
      </c>
      <c r="E44" s="24" t="s">
        <v>97</v>
      </c>
      <c r="F44" s="23" t="s">
        <v>602</v>
      </c>
      <c r="G44" s="24" t="s">
        <v>97</v>
      </c>
      <c r="H44" s="23" t="s">
        <v>602</v>
      </c>
      <c r="I44" s="18" t="s">
        <v>480</v>
      </c>
    </row>
    <row r="45" spans="1:9" ht="23.25" x14ac:dyDescent="0.45">
      <c r="A45" s="16" t="s">
        <v>482</v>
      </c>
      <c r="B45" s="18" t="s">
        <v>483</v>
      </c>
      <c r="C45" s="23" t="s">
        <v>602</v>
      </c>
      <c r="D45" s="23" t="s">
        <v>602</v>
      </c>
      <c r="E45" s="23" t="s">
        <v>602</v>
      </c>
      <c r="F45" s="23" t="s">
        <v>602</v>
      </c>
      <c r="G45" s="24" t="s">
        <v>97</v>
      </c>
      <c r="H45" s="23" t="s">
        <v>602</v>
      </c>
      <c r="I45" s="18" t="s">
        <v>490</v>
      </c>
    </row>
    <row r="46" spans="1:9" ht="23.25" x14ac:dyDescent="0.45">
      <c r="A46" s="16" t="s">
        <v>492</v>
      </c>
      <c r="B46" s="18" t="s">
        <v>493</v>
      </c>
      <c r="C46" s="23" t="s">
        <v>602</v>
      </c>
      <c r="D46" s="23" t="s">
        <v>602</v>
      </c>
      <c r="E46" s="24" t="s">
        <v>97</v>
      </c>
      <c r="F46" s="23" t="s">
        <v>602</v>
      </c>
      <c r="G46" s="24" t="s">
        <v>97</v>
      </c>
      <c r="H46" s="23" t="s">
        <v>602</v>
      </c>
      <c r="I46" s="18" t="s">
        <v>500</v>
      </c>
    </row>
    <row r="47" spans="1:9" ht="23.25" x14ac:dyDescent="0.45">
      <c r="A47" s="16" t="s">
        <v>503</v>
      </c>
      <c r="B47" s="18" t="s">
        <v>504</v>
      </c>
      <c r="C47" s="24" t="s">
        <v>97</v>
      </c>
      <c r="D47" s="23" t="s">
        <v>602</v>
      </c>
      <c r="E47" s="24" t="s">
        <v>97</v>
      </c>
      <c r="F47" s="23" t="s">
        <v>602</v>
      </c>
      <c r="G47" s="23" t="s">
        <v>602</v>
      </c>
      <c r="H47" s="23" t="s">
        <v>602</v>
      </c>
      <c r="I47" s="18" t="s">
        <v>509</v>
      </c>
    </row>
    <row r="48" spans="1:9" x14ac:dyDescent="0.45">
      <c r="A48" s="16" t="s">
        <v>511</v>
      </c>
      <c r="B48" s="18" t="s">
        <v>512</v>
      </c>
      <c r="C48" s="23" t="s">
        <v>602</v>
      </c>
      <c r="D48" s="23" t="s">
        <v>602</v>
      </c>
      <c r="E48" s="24" t="s">
        <v>97</v>
      </c>
      <c r="F48" s="23" t="s">
        <v>602</v>
      </c>
      <c r="G48" s="23" t="s">
        <v>602</v>
      </c>
      <c r="H48" s="23" t="s">
        <v>602</v>
      </c>
      <c r="I48" s="18" t="s">
        <v>519</v>
      </c>
    </row>
    <row r="49" spans="1:9" ht="23.25" x14ac:dyDescent="0.45">
      <c r="A49" s="16" t="s">
        <v>521</v>
      </c>
      <c r="B49" s="18" t="s">
        <v>522</v>
      </c>
      <c r="C49" s="23" t="s">
        <v>602</v>
      </c>
      <c r="D49" s="23" t="s">
        <v>602</v>
      </c>
      <c r="E49" s="24" t="s">
        <v>97</v>
      </c>
      <c r="F49" s="23" t="s">
        <v>602</v>
      </c>
      <c r="G49" s="23" t="s">
        <v>602</v>
      </c>
      <c r="H49" s="23" t="s">
        <v>602</v>
      </c>
      <c r="I49" s="18" t="s">
        <v>529</v>
      </c>
    </row>
    <row r="50" spans="1:9" ht="23.25" x14ac:dyDescent="0.45">
      <c r="A50" s="16" t="s">
        <v>531</v>
      </c>
      <c r="B50" s="18" t="s">
        <v>532</v>
      </c>
      <c r="C50" s="23" t="s">
        <v>602</v>
      </c>
      <c r="D50" s="23" t="s">
        <v>602</v>
      </c>
      <c r="E50" s="24" t="s">
        <v>97</v>
      </c>
      <c r="F50" s="23" t="s">
        <v>602</v>
      </c>
      <c r="G50" s="24" t="s">
        <v>97</v>
      </c>
      <c r="H50" s="23" t="s">
        <v>602</v>
      </c>
      <c r="I50" s="18" t="s">
        <v>539</v>
      </c>
    </row>
  </sheetData>
  <autoFilter ref="A4:I50" xr:uid="{00000000-0009-0000-0000-000007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25" x14ac:dyDescent="0.45"/>
  <cols>
    <col min="1" max="1" width="14" customWidth="1"/>
    <col min="2" max="2" width="34" customWidth="1"/>
    <col min="3" max="3" width="44" customWidth="1"/>
    <col min="4" max="4" width="26" customWidth="1"/>
    <col min="5" max="8" width="24" customWidth="1"/>
    <col min="9" max="9" width="30" customWidth="1"/>
    <col min="10" max="10" width="12" customWidth="1"/>
    <col min="11" max="11" width="30" customWidth="1"/>
  </cols>
  <sheetData>
    <row r="1" spans="1:11" ht="20.65" x14ac:dyDescent="0.6">
      <c r="A1" s="7" t="s">
        <v>682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45">
      <c r="A2" s="6" t="s">
        <v>683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26.25" x14ac:dyDescent="0.45">
      <c r="A4" s="15" t="s">
        <v>684</v>
      </c>
      <c r="B4" s="15" t="s">
        <v>685</v>
      </c>
      <c r="C4" s="15" t="s">
        <v>686</v>
      </c>
      <c r="D4" s="15" t="s">
        <v>687</v>
      </c>
      <c r="E4" s="15" t="s">
        <v>688</v>
      </c>
      <c r="F4" s="15" t="s">
        <v>689</v>
      </c>
      <c r="G4" s="15" t="s">
        <v>690</v>
      </c>
      <c r="H4" s="15" t="s">
        <v>691</v>
      </c>
      <c r="I4" s="15" t="s">
        <v>692</v>
      </c>
      <c r="J4" s="15" t="s">
        <v>693</v>
      </c>
      <c r="K4" s="15" t="s">
        <v>694</v>
      </c>
    </row>
    <row r="5" spans="1:11" ht="150" customHeight="1" x14ac:dyDescent="0.45">
      <c r="A5" s="26" t="s">
        <v>695</v>
      </c>
      <c r="B5" s="18" t="s">
        <v>696</v>
      </c>
      <c r="C5" s="18" t="s">
        <v>697</v>
      </c>
      <c r="D5" s="18" t="s">
        <v>698</v>
      </c>
      <c r="E5" s="18" t="s">
        <v>699</v>
      </c>
      <c r="F5" s="18" t="s">
        <v>700</v>
      </c>
      <c r="G5" s="18" t="s">
        <v>701</v>
      </c>
      <c r="H5" s="18" t="s">
        <v>702</v>
      </c>
      <c r="I5" s="18" t="s">
        <v>703</v>
      </c>
      <c r="J5" s="24" t="s">
        <v>97</v>
      </c>
      <c r="K5" s="18" t="s">
        <v>704</v>
      </c>
    </row>
    <row r="6" spans="1:11" ht="150" customHeight="1" x14ac:dyDescent="0.45">
      <c r="A6" s="26" t="s">
        <v>705</v>
      </c>
      <c r="B6" s="18" t="s">
        <v>706</v>
      </c>
      <c r="C6" s="18" t="s">
        <v>707</v>
      </c>
      <c r="D6" s="18" t="s">
        <v>708</v>
      </c>
      <c r="E6" s="18" t="s">
        <v>709</v>
      </c>
      <c r="F6" s="18" t="s">
        <v>710</v>
      </c>
      <c r="G6" s="18" t="s">
        <v>711</v>
      </c>
      <c r="H6" s="18" t="s">
        <v>712</v>
      </c>
      <c r="I6" s="18" t="s">
        <v>713</v>
      </c>
      <c r="J6" s="24" t="s">
        <v>97</v>
      </c>
      <c r="K6" s="18" t="s">
        <v>714</v>
      </c>
    </row>
    <row r="7" spans="1:11" ht="150" customHeight="1" x14ac:dyDescent="0.45">
      <c r="A7" s="26" t="s">
        <v>715</v>
      </c>
      <c r="B7" s="18" t="s">
        <v>716</v>
      </c>
      <c r="C7" s="18" t="s">
        <v>717</v>
      </c>
      <c r="D7" s="18" t="s">
        <v>718</v>
      </c>
      <c r="E7" s="18" t="s">
        <v>719</v>
      </c>
      <c r="F7" s="18" t="s">
        <v>720</v>
      </c>
      <c r="G7" s="18" t="s">
        <v>721</v>
      </c>
      <c r="H7" s="18" t="s">
        <v>722</v>
      </c>
      <c r="I7" s="18" t="s">
        <v>723</v>
      </c>
      <c r="J7" s="24" t="s">
        <v>97</v>
      </c>
      <c r="K7" s="18" t="s">
        <v>724</v>
      </c>
    </row>
    <row r="8" spans="1:11" ht="150" customHeight="1" x14ac:dyDescent="0.45">
      <c r="A8" s="26" t="s">
        <v>725</v>
      </c>
      <c r="B8" s="18" t="s">
        <v>726</v>
      </c>
      <c r="C8" s="18" t="s">
        <v>727</v>
      </c>
      <c r="D8" s="18" t="s">
        <v>728</v>
      </c>
      <c r="E8" s="18" t="s">
        <v>729</v>
      </c>
      <c r="F8" s="18" t="s">
        <v>730</v>
      </c>
      <c r="G8" s="18" t="s">
        <v>731</v>
      </c>
      <c r="H8" s="18" t="s">
        <v>732</v>
      </c>
      <c r="I8" s="18" t="s">
        <v>733</v>
      </c>
      <c r="J8" s="24" t="s">
        <v>98</v>
      </c>
      <c r="K8" s="18" t="s">
        <v>734</v>
      </c>
    </row>
    <row r="9" spans="1:11" ht="150" customHeight="1" x14ac:dyDescent="0.45">
      <c r="A9" s="26" t="s">
        <v>735</v>
      </c>
      <c r="B9" s="18" t="s">
        <v>736</v>
      </c>
      <c r="C9" s="18" t="s">
        <v>737</v>
      </c>
      <c r="D9" s="18" t="s">
        <v>738</v>
      </c>
      <c r="E9" s="18" t="s">
        <v>739</v>
      </c>
      <c r="F9" s="18" t="s">
        <v>740</v>
      </c>
      <c r="G9" s="18" t="s">
        <v>741</v>
      </c>
      <c r="H9" s="18" t="s">
        <v>742</v>
      </c>
      <c r="I9" s="18" t="s">
        <v>743</v>
      </c>
      <c r="J9" s="24" t="s">
        <v>744</v>
      </c>
      <c r="K9" s="18" t="s">
        <v>745</v>
      </c>
    </row>
    <row r="10" spans="1:11" ht="150" customHeight="1" x14ac:dyDescent="0.45">
      <c r="A10" s="26" t="s">
        <v>746</v>
      </c>
      <c r="B10" s="18" t="s">
        <v>747</v>
      </c>
      <c r="C10" s="18" t="s">
        <v>748</v>
      </c>
      <c r="D10" s="18" t="s">
        <v>749</v>
      </c>
      <c r="E10" s="18" t="s">
        <v>750</v>
      </c>
      <c r="F10" s="18" t="s">
        <v>751</v>
      </c>
      <c r="G10" s="18" t="s">
        <v>752</v>
      </c>
      <c r="H10" s="18" t="s">
        <v>753</v>
      </c>
      <c r="I10" s="18" t="s">
        <v>754</v>
      </c>
      <c r="J10" s="24" t="s">
        <v>755</v>
      </c>
      <c r="K10" s="18" t="s">
        <v>756</v>
      </c>
    </row>
    <row r="11" spans="1:11" ht="150" customHeight="1" x14ac:dyDescent="0.45">
      <c r="A11" s="26" t="s">
        <v>757</v>
      </c>
      <c r="B11" s="18" t="s">
        <v>758</v>
      </c>
      <c r="C11" s="18" t="s">
        <v>759</v>
      </c>
      <c r="D11" s="18" t="s">
        <v>760</v>
      </c>
      <c r="E11" s="18" t="s">
        <v>761</v>
      </c>
      <c r="F11" s="18" t="s">
        <v>762</v>
      </c>
      <c r="G11" s="18" t="s">
        <v>763</v>
      </c>
      <c r="H11" s="18" t="s">
        <v>764</v>
      </c>
      <c r="I11" s="18" t="s">
        <v>765</v>
      </c>
      <c r="J11" s="24" t="s">
        <v>766</v>
      </c>
      <c r="K11" s="18" t="s">
        <v>767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1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11" customWidth="1"/>
    <col min="2" max="2" width="6" customWidth="1"/>
    <col min="3" max="3" width="28" customWidth="1"/>
    <col min="4" max="4" width="11" customWidth="1"/>
    <col min="5" max="5" width="13" customWidth="1"/>
    <col min="6" max="6" width="11" customWidth="1"/>
    <col min="7" max="7" width="13" customWidth="1"/>
    <col min="8" max="8" width="10" customWidth="1"/>
    <col min="9" max="9" width="13" customWidth="1"/>
    <col min="10" max="10" width="60" customWidth="1"/>
  </cols>
  <sheetData>
    <row r="1" spans="1:10" ht="20.65" x14ac:dyDescent="0.6">
      <c r="A1" s="7" t="s">
        <v>768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4" spans="1:10" ht="39.4" x14ac:dyDescent="0.45">
      <c r="A4" s="15" t="s">
        <v>72</v>
      </c>
      <c r="B4" s="15" t="s">
        <v>59</v>
      </c>
      <c r="C4" s="15" t="s">
        <v>593</v>
      </c>
      <c r="D4" s="15" t="s">
        <v>60</v>
      </c>
      <c r="E4" s="15" t="s">
        <v>769</v>
      </c>
      <c r="F4" s="15" t="s">
        <v>75</v>
      </c>
      <c r="G4" s="15" t="s">
        <v>770</v>
      </c>
      <c r="H4" s="15" t="s">
        <v>74</v>
      </c>
      <c r="I4" s="15" t="s">
        <v>771</v>
      </c>
      <c r="J4" s="15" t="s">
        <v>772</v>
      </c>
    </row>
    <row r="5" spans="1:10" ht="15" customHeight="1" x14ac:dyDescent="0.45">
      <c r="A5" s="3" t="s">
        <v>773</v>
      </c>
      <c r="B5" s="3"/>
      <c r="C5" s="3"/>
      <c r="D5" s="3"/>
      <c r="E5" s="3"/>
      <c r="F5" s="3"/>
      <c r="G5" s="3"/>
      <c r="H5" s="3"/>
      <c r="I5" s="3"/>
      <c r="J5" s="3"/>
    </row>
    <row r="6" spans="1:10" ht="23.25" x14ac:dyDescent="0.45">
      <c r="A6" s="16" t="s">
        <v>156</v>
      </c>
      <c r="B6" s="16" t="s">
        <v>145</v>
      </c>
      <c r="C6" s="18" t="s">
        <v>146</v>
      </c>
      <c r="D6" s="16" t="s">
        <v>16</v>
      </c>
      <c r="E6" s="16" t="s">
        <v>155</v>
      </c>
      <c r="F6" s="16">
        <v>2</v>
      </c>
      <c r="G6" s="16" t="s">
        <v>97</v>
      </c>
      <c r="H6" s="16">
        <v>4</v>
      </c>
      <c r="I6" s="16" t="s">
        <v>774</v>
      </c>
      <c r="J6" s="18" t="s">
        <v>775</v>
      </c>
    </row>
    <row r="7" spans="1:10" ht="23.25" x14ac:dyDescent="0.45">
      <c r="A7" s="16" t="s">
        <v>156</v>
      </c>
      <c r="B7" s="16" t="s">
        <v>157</v>
      </c>
      <c r="C7" s="18" t="s">
        <v>158</v>
      </c>
      <c r="D7" s="16" t="s">
        <v>16</v>
      </c>
      <c r="E7" s="16" t="s">
        <v>86</v>
      </c>
      <c r="F7" s="16">
        <v>3</v>
      </c>
      <c r="G7" s="16" t="s">
        <v>97</v>
      </c>
      <c r="H7" s="16">
        <v>4</v>
      </c>
      <c r="I7" s="16" t="s">
        <v>774</v>
      </c>
      <c r="J7" s="18" t="s">
        <v>776</v>
      </c>
    </row>
    <row r="8" spans="1:10" x14ac:dyDescent="0.45">
      <c r="A8" s="16" t="s">
        <v>156</v>
      </c>
      <c r="B8" s="16" t="s">
        <v>167</v>
      </c>
      <c r="C8" s="18" t="s">
        <v>168</v>
      </c>
      <c r="D8" s="16" t="s">
        <v>16</v>
      </c>
      <c r="E8" s="16" t="s">
        <v>177</v>
      </c>
      <c r="F8" s="16">
        <v>2</v>
      </c>
      <c r="G8" s="16" t="s">
        <v>86</v>
      </c>
      <c r="H8" s="16">
        <v>3</v>
      </c>
      <c r="I8" s="16" t="s">
        <v>774</v>
      </c>
      <c r="J8" s="18" t="s">
        <v>777</v>
      </c>
    </row>
    <row r="9" spans="1:10" ht="23.25" x14ac:dyDescent="0.45">
      <c r="A9" s="16" t="s">
        <v>156</v>
      </c>
      <c r="B9" s="16" t="s">
        <v>178</v>
      </c>
      <c r="C9" s="18" t="s">
        <v>179</v>
      </c>
      <c r="D9" s="16" t="s">
        <v>16</v>
      </c>
      <c r="E9" s="16" t="s">
        <v>155</v>
      </c>
      <c r="F9" s="16">
        <v>2</v>
      </c>
      <c r="G9" s="16" t="s">
        <v>86</v>
      </c>
      <c r="H9" s="16">
        <v>3</v>
      </c>
      <c r="I9" s="16" t="s">
        <v>774</v>
      </c>
      <c r="J9" s="18" t="s">
        <v>778</v>
      </c>
    </row>
    <row r="10" spans="1:10" ht="23.25" x14ac:dyDescent="0.45">
      <c r="A10" s="16" t="s">
        <v>156</v>
      </c>
      <c r="B10" s="16" t="s">
        <v>208</v>
      </c>
      <c r="C10" s="18" t="s">
        <v>209</v>
      </c>
      <c r="D10" s="16" t="s">
        <v>16</v>
      </c>
      <c r="E10" s="16" t="s">
        <v>177</v>
      </c>
      <c r="F10" s="16">
        <v>2</v>
      </c>
      <c r="G10" s="16" t="s">
        <v>86</v>
      </c>
      <c r="H10" s="16">
        <v>3</v>
      </c>
      <c r="I10" s="16" t="s">
        <v>774</v>
      </c>
      <c r="J10" s="18" t="s">
        <v>779</v>
      </c>
    </row>
    <row r="11" spans="1:10" x14ac:dyDescent="0.45">
      <c r="A11" s="16" t="s">
        <v>156</v>
      </c>
      <c r="B11" s="16" t="s">
        <v>354</v>
      </c>
      <c r="C11" s="18" t="s">
        <v>355</v>
      </c>
      <c r="D11" s="16" t="s">
        <v>17</v>
      </c>
      <c r="E11" s="16" t="s">
        <v>155</v>
      </c>
      <c r="F11" s="16">
        <v>2</v>
      </c>
      <c r="G11" s="16" t="s">
        <v>97</v>
      </c>
      <c r="H11" s="16">
        <v>4</v>
      </c>
      <c r="I11" s="16" t="s">
        <v>774</v>
      </c>
      <c r="J11" s="18" t="s">
        <v>780</v>
      </c>
    </row>
    <row r="12" spans="1:10" x14ac:dyDescent="0.45">
      <c r="A12" s="16" t="s">
        <v>156</v>
      </c>
      <c r="B12" s="16" t="s">
        <v>374</v>
      </c>
      <c r="C12" s="18" t="s">
        <v>375</v>
      </c>
      <c r="D12" s="16" t="s">
        <v>17</v>
      </c>
      <c r="E12" s="16" t="s">
        <v>155</v>
      </c>
      <c r="F12" s="16">
        <v>2</v>
      </c>
      <c r="G12" s="16" t="s">
        <v>86</v>
      </c>
      <c r="H12" s="16">
        <v>3</v>
      </c>
      <c r="I12" s="16" t="s">
        <v>774</v>
      </c>
      <c r="J12" s="18" t="s">
        <v>781</v>
      </c>
    </row>
    <row r="13" spans="1:10" x14ac:dyDescent="0.45">
      <c r="A13" s="16" t="s">
        <v>156</v>
      </c>
      <c r="B13" s="16" t="s">
        <v>384</v>
      </c>
      <c r="C13" s="18" t="s">
        <v>385</v>
      </c>
      <c r="D13" s="16" t="s">
        <v>17</v>
      </c>
      <c r="E13" s="16" t="s">
        <v>155</v>
      </c>
      <c r="F13" s="16">
        <v>2</v>
      </c>
      <c r="G13" s="16" t="s">
        <v>86</v>
      </c>
      <c r="H13" s="16">
        <v>3</v>
      </c>
      <c r="I13" s="16" t="s">
        <v>774</v>
      </c>
      <c r="J13" s="18" t="s">
        <v>782</v>
      </c>
    </row>
    <row r="14" spans="1:10" ht="23.25" x14ac:dyDescent="0.45">
      <c r="A14" s="16" t="s">
        <v>156</v>
      </c>
      <c r="B14" s="16" t="s">
        <v>393</v>
      </c>
      <c r="C14" s="18" t="s">
        <v>394</v>
      </c>
      <c r="D14" s="16" t="s">
        <v>17</v>
      </c>
      <c r="E14" s="16" t="s">
        <v>155</v>
      </c>
      <c r="F14" s="16">
        <v>2</v>
      </c>
      <c r="G14" s="16" t="s">
        <v>86</v>
      </c>
      <c r="H14" s="16">
        <v>3</v>
      </c>
      <c r="I14" s="16" t="s">
        <v>774</v>
      </c>
      <c r="J14" s="18" t="s">
        <v>783</v>
      </c>
    </row>
    <row r="15" spans="1:10" x14ac:dyDescent="0.45">
      <c r="A15" s="16" t="s">
        <v>156</v>
      </c>
      <c r="B15" s="16" t="s">
        <v>436</v>
      </c>
      <c r="C15" s="18" t="s">
        <v>437</v>
      </c>
      <c r="D15" s="16" t="s">
        <v>17</v>
      </c>
      <c r="E15" s="16" t="s">
        <v>177</v>
      </c>
      <c r="F15" s="16">
        <v>1</v>
      </c>
      <c r="G15" s="16" t="s">
        <v>86</v>
      </c>
      <c r="H15" s="16">
        <v>3</v>
      </c>
      <c r="I15" s="16" t="s">
        <v>774</v>
      </c>
      <c r="J15" s="18" t="s">
        <v>784</v>
      </c>
    </row>
    <row r="16" spans="1:10" ht="23.25" x14ac:dyDescent="0.45">
      <c r="A16" s="16" t="s">
        <v>156</v>
      </c>
      <c r="B16" s="16" t="s">
        <v>455</v>
      </c>
      <c r="C16" s="18" t="s">
        <v>456</v>
      </c>
      <c r="D16" s="16" t="s">
        <v>17</v>
      </c>
      <c r="E16" s="16" t="s">
        <v>155</v>
      </c>
      <c r="F16" s="16">
        <v>2</v>
      </c>
      <c r="G16" s="16" t="s">
        <v>86</v>
      </c>
      <c r="H16" s="16">
        <v>3</v>
      </c>
      <c r="I16" s="16" t="s">
        <v>774</v>
      </c>
      <c r="J16" s="18" t="s">
        <v>785</v>
      </c>
    </row>
    <row r="17" spans="1:10" x14ac:dyDescent="0.45">
      <c r="A17" s="16" t="s">
        <v>156</v>
      </c>
      <c r="B17" s="16" t="s">
        <v>473</v>
      </c>
      <c r="C17" s="18" t="s">
        <v>474</v>
      </c>
      <c r="D17" s="16" t="s">
        <v>17</v>
      </c>
      <c r="E17" s="16" t="s">
        <v>177</v>
      </c>
      <c r="F17" s="16">
        <v>1</v>
      </c>
      <c r="G17" s="16" t="s">
        <v>86</v>
      </c>
      <c r="H17" s="16">
        <v>3</v>
      </c>
      <c r="I17" s="16" t="s">
        <v>774</v>
      </c>
      <c r="J17" s="18" t="s">
        <v>786</v>
      </c>
    </row>
    <row r="18" spans="1:10" ht="23.25" x14ac:dyDescent="0.45">
      <c r="A18" s="16" t="s">
        <v>156</v>
      </c>
      <c r="B18" s="16" t="s">
        <v>521</v>
      </c>
      <c r="C18" s="18" t="s">
        <v>522</v>
      </c>
      <c r="D18" s="16" t="s">
        <v>17</v>
      </c>
      <c r="E18" s="16" t="s">
        <v>155</v>
      </c>
      <c r="F18" s="16">
        <v>2</v>
      </c>
      <c r="G18" s="16" t="s">
        <v>86</v>
      </c>
      <c r="H18" s="16">
        <v>3</v>
      </c>
      <c r="I18" s="16" t="s">
        <v>774</v>
      </c>
      <c r="J18" s="18" t="s">
        <v>787</v>
      </c>
    </row>
    <row r="19" spans="1:10" ht="15" customHeight="1" x14ac:dyDescent="0.45">
      <c r="A19" s="3" t="s">
        <v>788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ht="23.25" x14ac:dyDescent="0.45">
      <c r="A20" s="16" t="s">
        <v>21</v>
      </c>
      <c r="B20" s="16" t="s">
        <v>76</v>
      </c>
      <c r="C20" s="18" t="s">
        <v>77</v>
      </c>
      <c r="D20" s="16" t="s">
        <v>15</v>
      </c>
      <c r="E20" s="16" t="s">
        <v>86</v>
      </c>
      <c r="F20" s="16">
        <v>3</v>
      </c>
      <c r="G20" s="16" t="s">
        <v>766</v>
      </c>
      <c r="H20" s="16">
        <v>5</v>
      </c>
      <c r="I20" s="16" t="s">
        <v>789</v>
      </c>
      <c r="J20" s="18" t="s">
        <v>790</v>
      </c>
    </row>
    <row r="21" spans="1:10" ht="23.25" x14ac:dyDescent="0.45">
      <c r="A21" s="16" t="s">
        <v>21</v>
      </c>
      <c r="B21" s="16" t="s">
        <v>88</v>
      </c>
      <c r="C21" s="18" t="s">
        <v>89</v>
      </c>
      <c r="D21" s="16" t="s">
        <v>15</v>
      </c>
      <c r="E21" s="16" t="s">
        <v>97</v>
      </c>
      <c r="F21" s="16">
        <v>4</v>
      </c>
      <c r="G21" s="16" t="s">
        <v>766</v>
      </c>
      <c r="H21" s="16">
        <v>5</v>
      </c>
      <c r="I21" s="16" t="s">
        <v>789</v>
      </c>
      <c r="J21" s="18" t="s">
        <v>791</v>
      </c>
    </row>
    <row r="22" spans="1:10" x14ac:dyDescent="0.45">
      <c r="A22" s="16" t="s">
        <v>21</v>
      </c>
      <c r="B22" s="16" t="s">
        <v>99</v>
      </c>
      <c r="C22" s="18" t="s">
        <v>100</v>
      </c>
      <c r="D22" s="16" t="s">
        <v>15</v>
      </c>
      <c r="E22" s="16" t="s">
        <v>86</v>
      </c>
      <c r="F22" s="16">
        <v>3</v>
      </c>
      <c r="G22" s="16" t="s">
        <v>97</v>
      </c>
      <c r="H22" s="16">
        <v>4</v>
      </c>
      <c r="I22" s="16" t="s">
        <v>789</v>
      </c>
      <c r="J22" s="18" t="s">
        <v>792</v>
      </c>
    </row>
    <row r="23" spans="1:10" ht="23.25" x14ac:dyDescent="0.45">
      <c r="A23" s="16" t="s">
        <v>21</v>
      </c>
      <c r="B23" s="16" t="s">
        <v>109</v>
      </c>
      <c r="C23" s="18" t="s">
        <v>110</v>
      </c>
      <c r="D23" s="16" t="s">
        <v>15</v>
      </c>
      <c r="E23" s="16" t="s">
        <v>98</v>
      </c>
      <c r="F23" s="16">
        <v>4</v>
      </c>
      <c r="G23" s="16" t="s">
        <v>766</v>
      </c>
      <c r="H23" s="16">
        <v>5</v>
      </c>
      <c r="I23" s="16" t="s">
        <v>789</v>
      </c>
      <c r="J23" s="18" t="s">
        <v>793</v>
      </c>
    </row>
    <row r="24" spans="1:10" ht="23.25" x14ac:dyDescent="0.45">
      <c r="A24" s="16" t="s">
        <v>21</v>
      </c>
      <c r="B24" s="16" t="s">
        <v>118</v>
      </c>
      <c r="C24" s="18" t="s">
        <v>119</v>
      </c>
      <c r="D24" s="16" t="s">
        <v>15</v>
      </c>
      <c r="E24" s="16" t="s">
        <v>86</v>
      </c>
      <c r="F24" s="16">
        <v>3</v>
      </c>
      <c r="G24" s="16" t="s">
        <v>97</v>
      </c>
      <c r="H24" s="16">
        <v>4</v>
      </c>
      <c r="I24" s="16" t="s">
        <v>789</v>
      </c>
      <c r="J24" s="18" t="s">
        <v>794</v>
      </c>
    </row>
    <row r="25" spans="1:10" ht="23.25" x14ac:dyDescent="0.45">
      <c r="A25" s="16" t="s">
        <v>21</v>
      </c>
      <c r="B25" s="16" t="s">
        <v>127</v>
      </c>
      <c r="C25" s="18" t="s">
        <v>128</v>
      </c>
      <c r="D25" s="16" t="s">
        <v>15</v>
      </c>
      <c r="E25" s="16" t="s">
        <v>86</v>
      </c>
      <c r="F25" s="16">
        <v>3</v>
      </c>
      <c r="G25" s="16" t="s">
        <v>86</v>
      </c>
      <c r="H25" s="16">
        <v>3</v>
      </c>
      <c r="I25" s="16" t="s">
        <v>789</v>
      </c>
      <c r="J25" s="18" t="s">
        <v>795</v>
      </c>
    </row>
    <row r="26" spans="1:10" ht="23.25" x14ac:dyDescent="0.45">
      <c r="A26" s="16" t="s">
        <v>21</v>
      </c>
      <c r="B26" s="16" t="s">
        <v>188</v>
      </c>
      <c r="C26" s="18" t="s">
        <v>189</v>
      </c>
      <c r="D26" s="16" t="s">
        <v>16</v>
      </c>
      <c r="E26" s="16" t="s">
        <v>97</v>
      </c>
      <c r="F26" s="16">
        <v>4</v>
      </c>
      <c r="G26" s="16" t="s">
        <v>766</v>
      </c>
      <c r="H26" s="16">
        <v>5</v>
      </c>
      <c r="I26" s="16" t="s">
        <v>789</v>
      </c>
      <c r="J26" s="18" t="s">
        <v>796</v>
      </c>
    </row>
    <row r="27" spans="1:10" ht="23.25" x14ac:dyDescent="0.45">
      <c r="A27" s="16" t="s">
        <v>21</v>
      </c>
      <c r="B27" s="16" t="s">
        <v>198</v>
      </c>
      <c r="C27" s="18" t="s">
        <v>199</v>
      </c>
      <c r="D27" s="16" t="s">
        <v>16</v>
      </c>
      <c r="E27" s="16" t="s">
        <v>86</v>
      </c>
      <c r="F27" s="16">
        <v>3</v>
      </c>
      <c r="G27" s="16" t="s">
        <v>97</v>
      </c>
      <c r="H27" s="16">
        <v>4</v>
      </c>
      <c r="I27" s="16" t="s">
        <v>789</v>
      </c>
      <c r="J27" s="18" t="s">
        <v>797</v>
      </c>
    </row>
    <row r="28" spans="1:10" x14ac:dyDescent="0.45">
      <c r="A28" s="16" t="s">
        <v>21</v>
      </c>
      <c r="B28" s="16" t="s">
        <v>242</v>
      </c>
      <c r="C28" s="18" t="s">
        <v>243</v>
      </c>
      <c r="D28" s="16" t="s">
        <v>16</v>
      </c>
      <c r="E28" s="16" t="s">
        <v>155</v>
      </c>
      <c r="F28" s="16">
        <v>2</v>
      </c>
      <c r="G28" s="16" t="s">
        <v>766</v>
      </c>
      <c r="H28" s="16">
        <v>5</v>
      </c>
      <c r="I28" s="16" t="s">
        <v>789</v>
      </c>
      <c r="J28" s="18" t="s">
        <v>798</v>
      </c>
    </row>
    <row r="29" spans="1:10" ht="23.25" x14ac:dyDescent="0.45">
      <c r="A29" s="16" t="s">
        <v>21</v>
      </c>
      <c r="B29" s="16" t="s">
        <v>264</v>
      </c>
      <c r="C29" s="18" t="s">
        <v>265</v>
      </c>
      <c r="D29" s="16" t="s">
        <v>16</v>
      </c>
      <c r="E29" s="16" t="s">
        <v>86</v>
      </c>
      <c r="F29" s="16">
        <v>3</v>
      </c>
      <c r="G29" s="16" t="s">
        <v>97</v>
      </c>
      <c r="H29" s="16">
        <v>4</v>
      </c>
      <c r="I29" s="16" t="s">
        <v>789</v>
      </c>
      <c r="J29" s="18" t="s">
        <v>799</v>
      </c>
    </row>
    <row r="30" spans="1:10" x14ac:dyDescent="0.45">
      <c r="A30" s="16" t="s">
        <v>21</v>
      </c>
      <c r="B30" s="16" t="s">
        <v>274</v>
      </c>
      <c r="C30" s="18" t="s">
        <v>275</v>
      </c>
      <c r="D30" s="16" t="s">
        <v>16</v>
      </c>
      <c r="E30" s="16" t="s">
        <v>86</v>
      </c>
      <c r="F30" s="16">
        <v>3</v>
      </c>
      <c r="G30" s="16" t="s">
        <v>86</v>
      </c>
      <c r="H30" s="16">
        <v>3</v>
      </c>
      <c r="I30" s="16" t="s">
        <v>789</v>
      </c>
      <c r="J30" s="18" t="s">
        <v>800</v>
      </c>
    </row>
    <row r="31" spans="1:10" x14ac:dyDescent="0.45">
      <c r="A31" s="16" t="s">
        <v>21</v>
      </c>
      <c r="B31" s="16" t="s">
        <v>294</v>
      </c>
      <c r="C31" s="18" t="s">
        <v>295</v>
      </c>
      <c r="D31" s="16" t="s">
        <v>16</v>
      </c>
      <c r="E31" s="16" t="s">
        <v>86</v>
      </c>
      <c r="F31" s="16">
        <v>3</v>
      </c>
      <c r="G31" s="16" t="s">
        <v>97</v>
      </c>
      <c r="H31" s="16">
        <v>4</v>
      </c>
      <c r="I31" s="16" t="s">
        <v>789</v>
      </c>
      <c r="J31" s="18" t="s">
        <v>801</v>
      </c>
    </row>
    <row r="32" spans="1:10" ht="23.25" x14ac:dyDescent="0.45">
      <c r="A32" s="16" t="s">
        <v>21</v>
      </c>
      <c r="B32" s="16" t="s">
        <v>304</v>
      </c>
      <c r="C32" s="18" t="s">
        <v>305</v>
      </c>
      <c r="D32" s="16" t="s">
        <v>16</v>
      </c>
      <c r="E32" s="16" t="s">
        <v>86</v>
      </c>
      <c r="F32" s="16">
        <v>3</v>
      </c>
      <c r="G32" s="16" t="s">
        <v>97</v>
      </c>
      <c r="H32" s="16">
        <v>4</v>
      </c>
      <c r="I32" s="16" t="s">
        <v>789</v>
      </c>
      <c r="J32" s="18" t="s">
        <v>802</v>
      </c>
    </row>
    <row r="33" spans="1:10" x14ac:dyDescent="0.45">
      <c r="A33" s="16" t="s">
        <v>21</v>
      </c>
      <c r="B33" s="16" t="s">
        <v>335</v>
      </c>
      <c r="C33" s="18" t="s">
        <v>336</v>
      </c>
      <c r="D33" s="16" t="s">
        <v>17</v>
      </c>
      <c r="E33" s="16" t="s">
        <v>86</v>
      </c>
      <c r="F33" s="16">
        <v>3</v>
      </c>
      <c r="G33" s="16" t="s">
        <v>766</v>
      </c>
      <c r="H33" s="16">
        <v>5</v>
      </c>
      <c r="I33" s="16" t="s">
        <v>789</v>
      </c>
      <c r="J33" s="18" t="s">
        <v>803</v>
      </c>
    </row>
    <row r="34" spans="1:10" ht="23.25" x14ac:dyDescent="0.45">
      <c r="A34" s="16" t="s">
        <v>21</v>
      </c>
      <c r="B34" s="16" t="s">
        <v>344</v>
      </c>
      <c r="C34" s="18" t="s">
        <v>345</v>
      </c>
      <c r="D34" s="16" t="s">
        <v>17</v>
      </c>
      <c r="E34" s="16" t="s">
        <v>86</v>
      </c>
      <c r="F34" s="16">
        <v>3</v>
      </c>
      <c r="G34" s="16" t="s">
        <v>97</v>
      </c>
      <c r="H34" s="16">
        <v>4</v>
      </c>
      <c r="I34" s="16" t="s">
        <v>789</v>
      </c>
      <c r="J34" s="18" t="s">
        <v>804</v>
      </c>
    </row>
    <row r="35" spans="1:10" x14ac:dyDescent="0.45">
      <c r="A35" s="16" t="s">
        <v>21</v>
      </c>
      <c r="B35" s="16" t="s">
        <v>364</v>
      </c>
      <c r="C35" s="18" t="s">
        <v>365</v>
      </c>
      <c r="D35" s="16" t="s">
        <v>17</v>
      </c>
      <c r="E35" s="16" t="s">
        <v>86</v>
      </c>
      <c r="F35" s="16">
        <v>3</v>
      </c>
      <c r="G35" s="16" t="s">
        <v>97</v>
      </c>
      <c r="H35" s="16">
        <v>4</v>
      </c>
      <c r="I35" s="16" t="s">
        <v>789</v>
      </c>
      <c r="J35" s="18" t="s">
        <v>805</v>
      </c>
    </row>
    <row r="36" spans="1:10" x14ac:dyDescent="0.45">
      <c r="A36" s="16" t="s">
        <v>21</v>
      </c>
      <c r="B36" s="16" t="s">
        <v>426</v>
      </c>
      <c r="C36" s="18" t="s">
        <v>427</v>
      </c>
      <c r="D36" s="16" t="s">
        <v>17</v>
      </c>
      <c r="E36" s="16" t="s">
        <v>155</v>
      </c>
      <c r="F36" s="16">
        <v>2</v>
      </c>
      <c r="G36" s="16" t="s">
        <v>86</v>
      </c>
      <c r="H36" s="16">
        <v>3</v>
      </c>
      <c r="I36" s="16" t="s">
        <v>789</v>
      </c>
      <c r="J36" s="18" t="s">
        <v>806</v>
      </c>
    </row>
    <row r="37" spans="1:10" x14ac:dyDescent="0.45">
      <c r="A37" s="16" t="s">
        <v>21</v>
      </c>
      <c r="B37" s="16" t="s">
        <v>445</v>
      </c>
      <c r="C37" s="18" t="s">
        <v>446</v>
      </c>
      <c r="D37" s="16" t="s">
        <v>17</v>
      </c>
      <c r="E37" s="16" t="s">
        <v>86</v>
      </c>
      <c r="F37" s="16">
        <v>3</v>
      </c>
      <c r="G37" s="16" t="s">
        <v>766</v>
      </c>
      <c r="H37" s="16">
        <v>5</v>
      </c>
      <c r="I37" s="16" t="s">
        <v>789</v>
      </c>
      <c r="J37" s="18" t="s">
        <v>807</v>
      </c>
    </row>
    <row r="38" spans="1:10" x14ac:dyDescent="0.45">
      <c r="A38" s="16" t="s">
        <v>21</v>
      </c>
      <c r="B38" s="16" t="s">
        <v>465</v>
      </c>
      <c r="C38" s="18" t="s">
        <v>466</v>
      </c>
      <c r="D38" s="16" t="s">
        <v>17</v>
      </c>
      <c r="E38" s="16" t="s">
        <v>155</v>
      </c>
      <c r="F38" s="16">
        <v>2</v>
      </c>
      <c r="G38" s="16" t="s">
        <v>97</v>
      </c>
      <c r="H38" s="16">
        <v>4</v>
      </c>
      <c r="I38" s="16" t="s">
        <v>789</v>
      </c>
      <c r="J38" s="18" t="s">
        <v>808</v>
      </c>
    </row>
    <row r="39" spans="1:10" ht="23.25" x14ac:dyDescent="0.45">
      <c r="A39" s="16" t="s">
        <v>21</v>
      </c>
      <c r="B39" s="16" t="s">
        <v>531</v>
      </c>
      <c r="C39" s="18" t="s">
        <v>532</v>
      </c>
      <c r="D39" s="16" t="s">
        <v>17</v>
      </c>
      <c r="E39" s="16" t="s">
        <v>86</v>
      </c>
      <c r="F39" s="16">
        <v>3</v>
      </c>
      <c r="G39" s="16" t="s">
        <v>97</v>
      </c>
      <c r="H39" s="16">
        <v>4</v>
      </c>
      <c r="I39" s="16" t="s">
        <v>789</v>
      </c>
      <c r="J39" s="18" t="s">
        <v>809</v>
      </c>
    </row>
    <row r="40" spans="1:10" ht="15" customHeight="1" x14ac:dyDescent="0.45">
      <c r="A40" s="3" t="s">
        <v>810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 ht="23.25" x14ac:dyDescent="0.45">
      <c r="A41" s="16" t="s">
        <v>22</v>
      </c>
      <c r="B41" s="16" t="s">
        <v>137</v>
      </c>
      <c r="C41" s="18" t="s">
        <v>138</v>
      </c>
      <c r="D41" s="16" t="s">
        <v>15</v>
      </c>
      <c r="E41" s="16" t="s">
        <v>98</v>
      </c>
      <c r="F41" s="16">
        <v>4</v>
      </c>
      <c r="G41" s="16" t="s">
        <v>86</v>
      </c>
      <c r="H41" s="16">
        <v>3</v>
      </c>
      <c r="I41" s="16" t="s">
        <v>811</v>
      </c>
      <c r="J41" s="18" t="s">
        <v>812</v>
      </c>
    </row>
    <row r="42" spans="1:10" ht="23.25" x14ac:dyDescent="0.45">
      <c r="A42" s="16" t="s">
        <v>22</v>
      </c>
      <c r="B42" s="16" t="s">
        <v>220</v>
      </c>
      <c r="C42" s="18" t="s">
        <v>221</v>
      </c>
      <c r="D42" s="16" t="s">
        <v>16</v>
      </c>
      <c r="E42" s="16" t="s">
        <v>86</v>
      </c>
      <c r="F42" s="16">
        <v>3</v>
      </c>
      <c r="G42" s="16" t="s">
        <v>86</v>
      </c>
      <c r="H42" s="16">
        <v>3</v>
      </c>
      <c r="I42" s="16" t="s">
        <v>811</v>
      </c>
      <c r="J42" s="18" t="s">
        <v>813</v>
      </c>
    </row>
    <row r="43" spans="1:10" ht="23.25" x14ac:dyDescent="0.45">
      <c r="A43" s="16" t="s">
        <v>22</v>
      </c>
      <c r="B43" s="16" t="s">
        <v>232</v>
      </c>
      <c r="C43" s="18" t="s">
        <v>233</v>
      </c>
      <c r="D43" s="16" t="s">
        <v>16</v>
      </c>
      <c r="E43" s="16" t="s">
        <v>97</v>
      </c>
      <c r="F43" s="16">
        <v>4</v>
      </c>
      <c r="G43" s="16" t="s">
        <v>97</v>
      </c>
      <c r="H43" s="16">
        <v>4</v>
      </c>
      <c r="I43" s="16" t="s">
        <v>811</v>
      </c>
      <c r="J43" s="18" t="s">
        <v>814</v>
      </c>
    </row>
    <row r="44" spans="1:10" x14ac:dyDescent="0.45">
      <c r="A44" s="16" t="s">
        <v>22</v>
      </c>
      <c r="B44" s="16" t="s">
        <v>284</v>
      </c>
      <c r="C44" s="18" t="s">
        <v>285</v>
      </c>
      <c r="D44" s="16" t="s">
        <v>16</v>
      </c>
      <c r="E44" s="16" t="s">
        <v>98</v>
      </c>
      <c r="F44" s="16">
        <v>4</v>
      </c>
      <c r="G44" s="16" t="s">
        <v>86</v>
      </c>
      <c r="H44" s="16">
        <v>3</v>
      </c>
      <c r="I44" s="16" t="s">
        <v>811</v>
      </c>
      <c r="J44" s="18" t="s">
        <v>815</v>
      </c>
    </row>
    <row r="45" spans="1:10" ht="23.25" x14ac:dyDescent="0.45">
      <c r="A45" s="16" t="s">
        <v>22</v>
      </c>
      <c r="B45" s="16" t="s">
        <v>315</v>
      </c>
      <c r="C45" s="18" t="s">
        <v>316</v>
      </c>
      <c r="D45" s="16" t="s">
        <v>16</v>
      </c>
      <c r="E45" s="16" t="s">
        <v>97</v>
      </c>
      <c r="F45" s="16">
        <v>5</v>
      </c>
      <c r="G45" s="16" t="s">
        <v>766</v>
      </c>
      <c r="H45" s="16">
        <v>5</v>
      </c>
      <c r="I45" s="16" t="s">
        <v>811</v>
      </c>
      <c r="J45" s="18" t="s">
        <v>816</v>
      </c>
    </row>
    <row r="46" spans="1:10" ht="23.25" x14ac:dyDescent="0.45">
      <c r="A46" s="16" t="s">
        <v>22</v>
      </c>
      <c r="B46" s="16" t="s">
        <v>414</v>
      </c>
      <c r="C46" s="18" t="s">
        <v>415</v>
      </c>
      <c r="D46" s="16" t="s">
        <v>17</v>
      </c>
      <c r="E46" s="16" t="s">
        <v>86</v>
      </c>
      <c r="F46" s="16">
        <v>3</v>
      </c>
      <c r="G46" s="16" t="s">
        <v>97</v>
      </c>
      <c r="H46" s="16">
        <v>4</v>
      </c>
      <c r="I46" s="16" t="s">
        <v>811</v>
      </c>
      <c r="J46" s="18" t="s">
        <v>817</v>
      </c>
    </row>
    <row r="47" spans="1:10" x14ac:dyDescent="0.45">
      <c r="A47" s="16" t="s">
        <v>22</v>
      </c>
      <c r="B47" s="16" t="s">
        <v>482</v>
      </c>
      <c r="C47" s="18" t="s">
        <v>483</v>
      </c>
      <c r="D47" s="16" t="s">
        <v>17</v>
      </c>
      <c r="E47" s="16" t="s">
        <v>86</v>
      </c>
      <c r="F47" s="16">
        <v>3</v>
      </c>
      <c r="G47" s="16" t="s">
        <v>86</v>
      </c>
      <c r="H47" s="16">
        <v>3</v>
      </c>
      <c r="I47" s="16" t="s">
        <v>811</v>
      </c>
      <c r="J47" s="18" t="s">
        <v>818</v>
      </c>
    </row>
    <row r="48" spans="1:10" ht="23.25" x14ac:dyDescent="0.45">
      <c r="A48" s="16" t="s">
        <v>22</v>
      </c>
      <c r="B48" s="16" t="s">
        <v>492</v>
      </c>
      <c r="C48" s="18" t="s">
        <v>493</v>
      </c>
      <c r="D48" s="16" t="s">
        <v>17</v>
      </c>
      <c r="E48" s="16" t="s">
        <v>86</v>
      </c>
      <c r="F48" s="16">
        <v>3</v>
      </c>
      <c r="G48" s="16" t="s">
        <v>86</v>
      </c>
      <c r="H48" s="16">
        <v>3</v>
      </c>
      <c r="I48" s="16" t="s">
        <v>811</v>
      </c>
      <c r="J48" s="18" t="s">
        <v>819</v>
      </c>
    </row>
    <row r="49" spans="1:10" ht="23.25" x14ac:dyDescent="0.45">
      <c r="A49" s="16" t="s">
        <v>22</v>
      </c>
      <c r="B49" s="16" t="s">
        <v>511</v>
      </c>
      <c r="C49" s="18" t="s">
        <v>512</v>
      </c>
      <c r="D49" s="16" t="s">
        <v>17</v>
      </c>
      <c r="E49" s="16" t="s">
        <v>86</v>
      </c>
      <c r="F49" s="16">
        <v>3</v>
      </c>
      <c r="G49" s="16" t="s">
        <v>86</v>
      </c>
      <c r="H49" s="16">
        <v>3</v>
      </c>
      <c r="I49" s="16" t="s">
        <v>811</v>
      </c>
      <c r="J49" s="18" t="s">
        <v>820</v>
      </c>
    </row>
    <row r="50" spans="1:10" ht="15" customHeight="1" x14ac:dyDescent="0.45">
      <c r="A50" s="3" t="s">
        <v>821</v>
      </c>
      <c r="B50" s="3"/>
      <c r="C50" s="3"/>
      <c r="D50" s="3"/>
      <c r="E50" s="3"/>
      <c r="F50" s="3"/>
      <c r="G50" s="3"/>
      <c r="H50" s="3"/>
      <c r="I50" s="3"/>
      <c r="J50" s="3"/>
    </row>
    <row r="51" spans="1:10" ht="23.25" x14ac:dyDescent="0.45">
      <c r="A51" s="16" t="s">
        <v>23</v>
      </c>
      <c r="B51" s="16" t="s">
        <v>251</v>
      </c>
      <c r="C51" s="18" t="s">
        <v>252</v>
      </c>
      <c r="D51" s="16" t="s">
        <v>16</v>
      </c>
      <c r="E51" s="16" t="s">
        <v>97</v>
      </c>
      <c r="F51" s="16">
        <v>4</v>
      </c>
      <c r="G51" s="16" t="s">
        <v>86</v>
      </c>
      <c r="H51" s="16">
        <v>3</v>
      </c>
      <c r="I51" s="16" t="s">
        <v>822</v>
      </c>
      <c r="J51" s="18" t="s">
        <v>823</v>
      </c>
    </row>
    <row r="52" spans="1:10" ht="23.25" x14ac:dyDescent="0.45">
      <c r="A52" s="16" t="s">
        <v>23</v>
      </c>
      <c r="B52" s="16" t="s">
        <v>325</v>
      </c>
      <c r="C52" s="18" t="s">
        <v>326</v>
      </c>
      <c r="D52" s="16" t="s">
        <v>16</v>
      </c>
      <c r="E52" s="16" t="s">
        <v>97</v>
      </c>
      <c r="F52" s="16">
        <v>4</v>
      </c>
      <c r="G52" s="16" t="s">
        <v>86</v>
      </c>
      <c r="H52" s="16">
        <v>3</v>
      </c>
      <c r="I52" s="16" t="s">
        <v>822</v>
      </c>
      <c r="J52" s="18" t="s">
        <v>824</v>
      </c>
    </row>
    <row r="53" spans="1:10" ht="23.25" x14ac:dyDescent="0.45">
      <c r="A53" s="16" t="s">
        <v>23</v>
      </c>
      <c r="B53" s="16" t="s">
        <v>403</v>
      </c>
      <c r="C53" s="18" t="s">
        <v>404</v>
      </c>
      <c r="D53" s="16" t="s">
        <v>17</v>
      </c>
      <c r="E53" s="16" t="s">
        <v>97</v>
      </c>
      <c r="F53" s="16">
        <v>5</v>
      </c>
      <c r="G53" s="16" t="s">
        <v>86</v>
      </c>
      <c r="H53" s="16">
        <v>3</v>
      </c>
      <c r="I53" s="16" t="s">
        <v>822</v>
      </c>
      <c r="J53" s="18" t="s">
        <v>825</v>
      </c>
    </row>
    <row r="54" spans="1:10" ht="23.25" x14ac:dyDescent="0.45">
      <c r="A54" s="16" t="s">
        <v>23</v>
      </c>
      <c r="B54" s="16" t="s">
        <v>503</v>
      </c>
      <c r="C54" s="18" t="s">
        <v>504</v>
      </c>
      <c r="D54" s="16" t="s">
        <v>17</v>
      </c>
      <c r="E54" s="16" t="s">
        <v>97</v>
      </c>
      <c r="F54" s="16">
        <v>5</v>
      </c>
      <c r="G54" s="16" t="s">
        <v>86</v>
      </c>
      <c r="H54" s="16">
        <v>3</v>
      </c>
      <c r="I54" s="16" t="s">
        <v>822</v>
      </c>
      <c r="J54" s="18" t="s">
        <v>826</v>
      </c>
    </row>
    <row r="56" spans="1:10" x14ac:dyDescent="0.45">
      <c r="A56" s="27" t="s">
        <v>827</v>
      </c>
    </row>
    <row r="57" spans="1:10" ht="39.4" x14ac:dyDescent="0.45">
      <c r="A57" s="10" t="s">
        <v>72</v>
      </c>
      <c r="B57" s="10" t="s">
        <v>828</v>
      </c>
      <c r="C57" s="10" t="s">
        <v>829</v>
      </c>
      <c r="D57" s="10" t="s">
        <v>830</v>
      </c>
    </row>
    <row r="58" spans="1:10" x14ac:dyDescent="0.45">
      <c r="A58" s="11" t="s">
        <v>156</v>
      </c>
      <c r="B58" s="12">
        <f>COUNTIF($A$5:$A$54,"Quick Win")</f>
        <v>13</v>
      </c>
      <c r="C58" s="12">
        <f>ROUND(AVERAGEIF($A$5:$A$54,"Quick Win",$H$5:$H$54),1)</f>
        <v>3.2</v>
      </c>
      <c r="D58" s="12">
        <f>ROUND(AVERAGEIF($A$5:$A$54,"Quick Win",$F$5:$F$54),1)</f>
        <v>1.9</v>
      </c>
    </row>
    <row r="59" spans="1:10" x14ac:dyDescent="0.45">
      <c r="A59" s="11" t="s">
        <v>21</v>
      </c>
      <c r="B59" s="12">
        <f>COUNTIF($A$5:$A$54,"Phase 1")</f>
        <v>20</v>
      </c>
      <c r="C59" s="12">
        <f>ROUND(AVERAGEIF($A$5:$A$54,"Phase 1",$H$5:$H$54),1)</f>
        <v>4.2</v>
      </c>
      <c r="D59" s="12">
        <f>ROUND(AVERAGEIF($A$5:$A$54,"Phase 1",$F$5:$F$54),1)</f>
        <v>3</v>
      </c>
    </row>
    <row r="60" spans="1:10" x14ac:dyDescent="0.45">
      <c r="A60" s="11" t="s">
        <v>22</v>
      </c>
      <c r="B60" s="12">
        <f>COUNTIF($A$5:$A$54,"Phase 2")</f>
        <v>9</v>
      </c>
      <c r="C60" s="12">
        <f>ROUND(AVERAGEIF($A$5:$A$54,"Phase 2",$H$5:$H$54),1)</f>
        <v>3.4</v>
      </c>
      <c r="D60" s="12">
        <f>ROUND(AVERAGEIF($A$5:$A$54,"Phase 2",$F$5:$F$54),1)</f>
        <v>3.6</v>
      </c>
    </row>
    <row r="61" spans="1:10" x14ac:dyDescent="0.45">
      <c r="A61" s="11" t="s">
        <v>23</v>
      </c>
      <c r="B61" s="12">
        <f>COUNTIF($A$5:$A$54,"Phase 3")</f>
        <v>4</v>
      </c>
      <c r="C61" s="12">
        <f>ROUND(AVERAGEIF($A$5:$A$54,"Phase 3",$H$5:$H$54),1)</f>
        <v>3</v>
      </c>
      <c r="D61" s="12">
        <f>ROUND(AVERAGEIF($A$5:$A$54,"Phase 3",$F$5:$F$54),1)</f>
        <v>4.5</v>
      </c>
    </row>
  </sheetData>
  <mergeCells count="6">
    <mergeCell ref="A50:J50"/>
    <mergeCell ref="A1:J1"/>
    <mergeCell ref="A2:J2"/>
    <mergeCell ref="A5:J5"/>
    <mergeCell ref="A19:J19"/>
    <mergeCell ref="A40:J4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AI Portfolio</vt:lpstr>
      <vt:lpstr>Health AI</vt:lpstr>
      <vt:lpstr>Operations AI</vt:lpstr>
      <vt:lpstr>Agency AI</vt:lpstr>
      <vt:lpstr>Data Requirements</vt:lpstr>
      <vt:lpstr>ML Models</vt:lpstr>
      <vt:lpstr>Business KPIs</vt:lpstr>
      <vt:lpstr>Industry Benchmark</vt:lpstr>
      <vt:lpstr>Implementation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Nitin Bajpai</cp:lastModifiedBy>
  <cp:revision>0</cp:revision>
  <dcterms:created xsi:type="dcterms:W3CDTF">2026-08-01T05:13:40Z</dcterms:created>
  <dcterms:modified xsi:type="dcterms:W3CDTF">2026-08-02T23:08:42Z</dcterms:modified>
  <dc:language>en-US</dc:language>
</cp:coreProperties>
</file>